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132177\Documents\Python Scripts\12d_pychain\12dPychain\"/>
    </mc:Choice>
  </mc:AlternateContent>
  <xr:revisionPtr revIDLastSave="0" documentId="13_ncr:1_{8BDE7218-6A18-4D57-8837-EB13961172D6}" xr6:coauthVersionLast="47" xr6:coauthVersionMax="47" xr10:uidLastSave="{00000000-0000-0000-0000-000000000000}"/>
  <bookViews>
    <workbookView xWindow="14295" yWindow="0" windowWidth="14610" windowHeight="15585" xr2:uid="{99BF9FAB-B276-4E1A-A380-3CF65DF557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1" i="1" l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92" i="1"/>
  <c r="F91" i="1"/>
  <c r="E92" i="1"/>
  <c r="E91" i="1"/>
  <c r="F127" i="1"/>
  <c r="F126" i="1" l="1"/>
  <c r="F140" i="1"/>
  <c r="F141" i="1"/>
  <c r="F142" i="1"/>
  <c r="F143" i="1"/>
  <c r="F144" i="1"/>
  <c r="F145" i="1"/>
  <c r="F146" i="1"/>
  <c r="E140" i="1"/>
  <c r="E141" i="1"/>
  <c r="E142" i="1"/>
  <c r="E143" i="1"/>
  <c r="E144" i="1"/>
  <c r="E145" i="1"/>
  <c r="E146" i="1"/>
  <c r="E13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09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190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95" i="1"/>
  <c r="E86" i="1"/>
  <c r="E87" i="1"/>
  <c r="E88" i="1"/>
  <c r="E89" i="1"/>
  <c r="E90" i="1"/>
  <c r="E85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68" i="1"/>
  <c r="E56" i="1"/>
  <c r="E57" i="1"/>
  <c r="E58" i="1"/>
  <c r="E59" i="1"/>
  <c r="E60" i="1"/>
  <c r="E61" i="1"/>
  <c r="E62" i="1"/>
  <c r="E63" i="1"/>
  <c r="E64" i="1"/>
  <c r="E65" i="1"/>
  <c r="E66" i="1"/>
  <c r="E55" i="1"/>
  <c r="E52" i="1"/>
  <c r="E51" i="1"/>
  <c r="E50" i="1"/>
  <c r="E49" i="1"/>
  <c r="E46" i="1"/>
  <c r="E45" i="1"/>
  <c r="E42" i="1"/>
  <c r="E33" i="1"/>
  <c r="E34" i="1"/>
  <c r="E35" i="1"/>
  <c r="E36" i="1"/>
  <c r="E37" i="1"/>
  <c r="E38" i="1"/>
  <c r="E39" i="1"/>
  <c r="E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190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30" i="1"/>
  <c r="F164" i="1"/>
  <c r="F163" i="1"/>
  <c r="F162" i="1"/>
  <c r="F161" i="1"/>
  <c r="F42" i="1"/>
  <c r="F112" i="1"/>
  <c r="F111" i="1"/>
  <c r="F110" i="1"/>
  <c r="F109" i="1"/>
  <c r="F108" i="1"/>
  <c r="F107" i="1"/>
  <c r="F139" i="1"/>
  <c r="F158" i="1"/>
  <c r="F157" i="1"/>
  <c r="F154" i="1"/>
  <c r="F106" i="1"/>
  <c r="F105" i="1"/>
  <c r="F97" i="1"/>
  <c r="F96" i="1"/>
  <c r="F153" i="1"/>
  <c r="F152" i="1"/>
  <c r="F151" i="1"/>
  <c r="F150" i="1"/>
  <c r="F125" i="1"/>
  <c r="F124" i="1"/>
  <c r="F123" i="1"/>
  <c r="F122" i="1"/>
  <c r="F121" i="1"/>
  <c r="F120" i="1"/>
  <c r="F119" i="1"/>
  <c r="F118" i="1"/>
  <c r="F136" i="1"/>
  <c r="F135" i="1"/>
  <c r="F134" i="1"/>
  <c r="F133" i="1"/>
  <c r="F132" i="1"/>
  <c r="F131" i="1"/>
  <c r="F39" i="1"/>
  <c r="F38" i="1"/>
  <c r="F82" i="1"/>
  <c r="F81" i="1"/>
  <c r="F77" i="1"/>
  <c r="F76" i="1"/>
  <c r="F73" i="1"/>
  <c r="F70" i="1"/>
  <c r="F103" i="1"/>
  <c r="F102" i="1"/>
  <c r="F104" i="1"/>
  <c r="F101" i="1"/>
  <c r="F100" i="1"/>
  <c r="F99" i="1"/>
  <c r="F98" i="1"/>
  <c r="F95" i="1"/>
  <c r="F90" i="1"/>
  <c r="F115" i="1"/>
  <c r="F35" i="1"/>
  <c r="F34" i="1"/>
  <c r="F4" i="1"/>
  <c r="F25" i="1"/>
  <c r="F24" i="1"/>
  <c r="F23" i="1"/>
  <c r="F22" i="1"/>
  <c r="F18" i="1"/>
  <c r="F11" i="1"/>
  <c r="F9" i="1"/>
  <c r="F8" i="1"/>
  <c r="F3" i="1"/>
  <c r="F86" i="1"/>
  <c r="F83" i="1"/>
  <c r="F85" i="1"/>
  <c r="F87" i="1"/>
  <c r="F88" i="1"/>
  <c r="F89" i="1"/>
  <c r="F53" i="1"/>
  <c r="F55" i="1"/>
  <c r="F58" i="1"/>
  <c r="F60" i="1"/>
  <c r="F61" i="1"/>
  <c r="F63" i="1"/>
  <c r="F65" i="1"/>
  <c r="F56" i="1"/>
  <c r="F57" i="1"/>
  <c r="F59" i="1"/>
  <c r="F62" i="1"/>
  <c r="F64" i="1"/>
  <c r="F66" i="1"/>
  <c r="F68" i="1"/>
  <c r="F75" i="1"/>
  <c r="F78" i="1"/>
  <c r="F79" i="1"/>
  <c r="F80" i="1"/>
  <c r="F69" i="1"/>
  <c r="F71" i="1"/>
  <c r="F72" i="1"/>
  <c r="F74" i="1"/>
  <c r="F47" i="1"/>
  <c r="F49" i="1"/>
  <c r="F50" i="1"/>
  <c r="F51" i="1"/>
  <c r="F52" i="1"/>
  <c r="F45" i="1"/>
  <c r="F46" i="1"/>
  <c r="F32" i="1"/>
  <c r="F33" i="1"/>
  <c r="F36" i="1"/>
  <c r="F37" i="1"/>
  <c r="F29" i="1"/>
  <c r="F30" i="1"/>
  <c r="F6" i="1"/>
  <c r="F7" i="1"/>
  <c r="F10" i="1"/>
  <c r="F12" i="1"/>
  <c r="F13" i="1"/>
  <c r="F14" i="1"/>
  <c r="F15" i="1"/>
  <c r="F16" i="1"/>
  <c r="F17" i="1"/>
  <c r="F19" i="1"/>
  <c r="F20" i="1"/>
  <c r="F21" i="1"/>
  <c r="F26" i="1"/>
  <c r="F27" i="1"/>
  <c r="F28" i="1"/>
  <c r="F5" i="1"/>
</calcChain>
</file>

<file path=xl/sharedStrings.xml><?xml version="1.0" encoding="utf-8"?>
<sst xmlns="http://schemas.openxmlformats.org/spreadsheetml/2006/main" count="1320" uniqueCount="509">
  <si>
    <t>discipline</t>
  </si>
  <si>
    <t>prefix</t>
  </si>
  <si>
    <t>2D</t>
  </si>
  <si>
    <t>filename</t>
  </si>
  <si>
    <t>description</t>
  </si>
  <si>
    <t>object_dimension</t>
  </si>
  <si>
    <t>file_ext</t>
  </si>
  <si>
    <t>NWP-714-C-NWA-DTM-00-DPK-CSV-TR01</t>
  </si>
  <si>
    <t>NWP-714-C-NWA-M2D-00-CSP-CSV-CB01</t>
  </si>
  <si>
    <t>NWP-714-C-NWA-M2D-00-DPK-CSV-CB01</t>
  </si>
  <si>
    <t>NWP-714-C-NWA-M2D-00-RBK-CSV-CB01</t>
  </si>
  <si>
    <t>NWP-714-C-NWA-M3D-00-COY-CSV-FS01</t>
  </si>
  <si>
    <t>NWP-714-C-NWA-M3D-00-COY-CSV-TR01</t>
  </si>
  <si>
    <t>NWP-714-C-NWA-M3D-00-CSP-CSV-FS01</t>
  </si>
  <si>
    <t>NWP-714-C-NWA-M3D-00-CSP-CSV-SV01</t>
  </si>
  <si>
    <t>NWP-714-C-NWA-M3D-00-DPK-CSV-FS01</t>
  </si>
  <si>
    <t>NWP-714-C-NWA-M3D-00-DPK-CSV-TR02</t>
  </si>
  <si>
    <t>NWP-714-C-NWA-M3D-00-RBK-CSV-FS01</t>
  </si>
  <si>
    <t>NWP-714-C-NWA-M3D-00-RBK-CSV-SV01</t>
  </si>
  <si>
    <t>NWP-714-C-NWA-M3D-00-RBK-CSV-TR01</t>
  </si>
  <si>
    <t>NWP-714-C-NWA-M3D-00-RBK-CSV-TR02</t>
  </si>
  <si>
    <t>NWP-714-D-NWA-M3D-00-CSP-CSV-TR01</t>
  </si>
  <si>
    <t>NWP-714-D-NWA-M3D-00-CSP-CSV-TR10</t>
  </si>
  <si>
    <t>NWP-714-D-NWA-M3D-00-DPK-CSV-SV01</t>
  </si>
  <si>
    <t>NWP-714-D-NWA-M3D-00-DPK-CSV-SV02</t>
  </si>
  <si>
    <t>SU</t>
  </si>
  <si>
    <t>3D</t>
  </si>
  <si>
    <t>Survey/Deer Park</t>
  </si>
  <si>
    <t>Survey/Caroline Springs</t>
  </si>
  <si>
    <t>Survey/Rockbank</t>
  </si>
  <si>
    <t>Survey/Cobblebank</t>
  </si>
  <si>
    <t>DPK EX Triangles</t>
  </si>
  <si>
    <t>RBK EX Triangles</t>
  </si>
  <si>
    <t>CSP EX Triangles</t>
  </si>
  <si>
    <t>DPK EX Platform Triangles</t>
  </si>
  <si>
    <t>RBK EX Platform Triangles</t>
  </si>
  <si>
    <t>CSP EX Platform Triangles</t>
  </si>
  <si>
    <t>DPK Track Survey INFO</t>
  </si>
  <si>
    <t>DPK As Build Survey INFO</t>
  </si>
  <si>
    <t>COY Feature Survey</t>
  </si>
  <si>
    <t>CSP Feature Survey</t>
  </si>
  <si>
    <t>DPK Feature Survey</t>
  </si>
  <si>
    <t>RBK Feature Survey</t>
  </si>
  <si>
    <t>CSP Track Survey</t>
  </si>
  <si>
    <t>RBK Track Survey</t>
  </si>
  <si>
    <t>MLU 212 - Survey</t>
  </si>
  <si>
    <t>MLU 212 - Utilities Survey</t>
  </si>
  <si>
    <t>NWP-714-C-NWA-M3D-00-CSP-CUT-EX01</t>
  </si>
  <si>
    <t>NWP-714-C-NWA-M3D-00-DPK-CUT-EX01</t>
  </si>
  <si>
    <t>NWP-714-C-NWA-IFC-00-CSP-CUT-EX01</t>
  </si>
  <si>
    <t>NWP-714-C-NWA-IFC-00-DPK-CUT-EX01</t>
  </si>
  <si>
    <t>SU UTL</t>
  </si>
  <si>
    <t>Survey Utilities/Caroline Springs</t>
  </si>
  <si>
    <t>Survey Utilities/Deer Park</t>
  </si>
  <si>
    <t>MLU 181 - Utilities Survey</t>
  </si>
  <si>
    <t>NWP-181-D-NWA-IFC-00-RBK-CUT-EX01</t>
  </si>
  <si>
    <t>NWP-181-D-NWA-IFC-00-TLN-CUT-EX01</t>
  </si>
  <si>
    <t>Survey Utilities/Rockbank</t>
  </si>
  <si>
    <t>Survey Utilities/Cobblebank</t>
  </si>
  <si>
    <t>CSP Utilities Existing Solids</t>
  </si>
  <si>
    <t>DPK Utilities Existing Solids</t>
  </si>
  <si>
    <t>RBK Utilities Existing Solids</t>
  </si>
  <si>
    <t>TLN Utilities Existing Solids</t>
  </si>
  <si>
    <t>RBK Utilities Existing Strings</t>
  </si>
  <si>
    <t>TLN Utilities Existing Strings</t>
  </si>
  <si>
    <t>CSP Utilities Existing Strings</t>
  </si>
  <si>
    <t>DPK Utilities Existing Strings</t>
  </si>
  <si>
    <t>MLX 172 - Utilities Survey</t>
  </si>
  <si>
    <t>NWP-172-C-NWA-M3D-00-MEL-CUT-AB01</t>
  </si>
  <si>
    <t>NWP-172-C-NWA-M3D-00-MEL-CUT-EX01</t>
  </si>
  <si>
    <t>NWP-172-C-NWA-IFC-00-MEL-CUT-AB01</t>
  </si>
  <si>
    <t>NWP-172-C-NWA-IFC-00-MEL-CUT-EX01</t>
  </si>
  <si>
    <t>Survey Utilities/Melton LX</t>
  </si>
  <si>
    <t>AB UTL</t>
  </si>
  <si>
    <t>MLX Utilities AsBuilt Strings</t>
  </si>
  <si>
    <t>MLX Utilities Existing Strings</t>
  </si>
  <si>
    <t>MLX Utilities AsBuilt Solids</t>
  </si>
  <si>
    <t>MLX Utilities Existing Solids</t>
  </si>
  <si>
    <t>project_folder_path</t>
  </si>
  <si>
    <t>file_mapping_path</t>
  </si>
  <si>
    <t>MLU 212 - Rail</t>
  </si>
  <si>
    <t>NWP-714-C-NWA-M2D-00-COY-CPW-CH50</t>
  </si>
  <si>
    <t>NWP-714-C-NWA-M2D-00-CSP-CPW-CH20</t>
  </si>
  <si>
    <t>NWP-714-C-NWA-M2D-00-DPK-CPW-CH10</t>
  </si>
  <si>
    <t>NWP-714-C-NWA-M2D-00-DPK-CPW-CH99</t>
  </si>
  <si>
    <t>NWP-714-C-NWA-M2D-00-RBK-CPW-CH30</t>
  </si>
  <si>
    <t>NWP-714-C-NWA-M2D-00-TLN-CPW-CH40</t>
  </si>
  <si>
    <t>NWP-714-C-NWA-M2D-00-COY-CPW-DE50</t>
  </si>
  <si>
    <t>NWP-714-C-NWA-M2D-00-COY-CPW-DE56</t>
  </si>
  <si>
    <t>NWP-714-C-NWA-M2D-00-CSP-CPW-DE20</t>
  </si>
  <si>
    <t>NWP-714-C-NWA-M2D-00-DPK-CPW-DE10</t>
  </si>
  <si>
    <t>NWP-714-C-NWA-M2D-00-RBK-CPW-DE30</t>
  </si>
  <si>
    <t>NWP-714-C-NWA-M2D-00-TLN-CPW-DE40</t>
  </si>
  <si>
    <t>NWP-714-C-NWA-M3D-00-COY-CPW-DE50</t>
  </si>
  <si>
    <t>NWP-714-C-NWA-M3D-00-CSP-CPW-DE20</t>
  </si>
  <si>
    <t>NWP-714-C-NWA-M3D-00-DPK-CPW-DE10</t>
  </si>
  <si>
    <t>NWP-714-C-NWA-M3D-00-RBK-CPW-DE30</t>
  </si>
  <si>
    <t>NWP-714-C-NWA-M3D-00-TLN-CPW-DE40</t>
  </si>
  <si>
    <t>NWP-714-C-NWA-M3D-00-COY-CRD-EW50</t>
  </si>
  <si>
    <t>NWP-714-C-NWA-M3D-00-COY-CRD-EW56</t>
  </si>
  <si>
    <t>NWP-714-C-NWA-M3D-00-COY-CRD-TR50</t>
  </si>
  <si>
    <t>NWP-714-C-NWA-M3D-00-COY-CRD-TR56</t>
  </si>
  <si>
    <t>Rail/Cobblebank</t>
  </si>
  <si>
    <t>Rail/Caroline Springs</t>
  </si>
  <si>
    <t>Rail/Deer Park</t>
  </si>
  <si>
    <t>Rail/Rockbank</t>
  </si>
  <si>
    <t>TK</t>
  </si>
  <si>
    <t>Stabling Yard Proposed Chainage</t>
  </si>
  <si>
    <t>Proposed Chainage</t>
  </si>
  <si>
    <t>Existing Chainage</t>
  </si>
  <si>
    <t>Track Alignment</t>
  </si>
  <si>
    <t>Future Track Alignment</t>
  </si>
  <si>
    <t>Rail Strings</t>
  </si>
  <si>
    <t>Earthworks Strings</t>
  </si>
  <si>
    <t>Future Earthworks Strings</t>
  </si>
  <si>
    <t>Earthworks Triangles</t>
  </si>
  <si>
    <t>Future Earthworks Triangles</t>
  </si>
  <si>
    <t>MLU 212 - Civil</t>
  </si>
  <si>
    <t>DESIGN FUNCTIONAL</t>
  </si>
  <si>
    <t>DESIGN CONTOURS</t>
  </si>
  <si>
    <t>DESIGN EARTHWORKS</t>
  </si>
  <si>
    <t>DESIGN TRIANGLES</t>
  </si>
  <si>
    <t>RD</t>
  </si>
  <si>
    <t>Civil/Cobblebank</t>
  </si>
  <si>
    <t>C:\pw_12d\kbr-au-pw-06\MET750\212 - Melton Line Upgrade\05 Civil\09 12d Model\01 Inputs Projects\MLU Rail.12dModel</t>
  </si>
  <si>
    <t>C:\pw_12d\kbr-au-pw-06\MET750\212 - Melton Line Upgrade\05 Civil\09 12d Model\01 Inputs Projects\MLU Civil.12dModel</t>
  </si>
  <si>
    <t>Rail</t>
  </si>
  <si>
    <t>NWP-714-C-NWA-M2D-00-COY-CRG-DE30</t>
  </si>
  <si>
    <t>NWP-714-C-NWA-M2D-00-COY-CRG-DE31</t>
  </si>
  <si>
    <t>FUTURE</t>
  </si>
  <si>
    <t>C:\pw_12d\kbr-au-pw-06\MET750\212 - Melton Line Upgrade\05 Civil\04 Models</t>
  </si>
  <si>
    <t>NWP-181-D-NWA-M2D-00-BAH-CSV-PB01</t>
  </si>
  <si>
    <t>Survey/Bacchus Marsh</t>
  </si>
  <si>
    <t>BAH Victrack Boundary</t>
  </si>
  <si>
    <t>NWP-714-C-NWA-M2D-00-MEL-CSV-CB01</t>
  </si>
  <si>
    <t>NWP-714-C-NWA-M2D-00-MEL-CSV-CB02</t>
  </si>
  <si>
    <t>Survey/Melton</t>
  </si>
  <si>
    <t>MEL Cadastral Base</t>
  </si>
  <si>
    <t>NWP-714-C-NWA-M2D-00-TLN-CSV-CB01</t>
  </si>
  <si>
    <t>NWP-714-C-NWA-M3D-00-MEL-CSV-FS01</t>
  </si>
  <si>
    <t>NWP-714-C-NWA-M3D-00-TLN-CSV-FS01</t>
  </si>
  <si>
    <t>NWP-714-C-NWA-M3D-00-TLN-CSV-SV01</t>
  </si>
  <si>
    <t>NWP-714-C-NWA-M3D-00-TLN-CSV-TR01</t>
  </si>
  <si>
    <t>MEL Feature Survey</t>
  </si>
  <si>
    <t>TLN Feature Survey</t>
  </si>
  <si>
    <t>TLN Existing Triangles</t>
  </si>
  <si>
    <t>TLN Track Survey</t>
  </si>
  <si>
    <t>NWP-181-D-NWA-M3D-00-TLN-CSV-TR10</t>
  </si>
  <si>
    <t>COY EX Triangles LIDAR</t>
  </si>
  <si>
    <t>C:\pw_12d\kbr-au-pw-06\MET750\212 - Melton Line Upgrade\13 Survey\04 Survey Models</t>
  </si>
  <si>
    <t>C:\pw_12d\kbr-au-pw-06\MET750\212 - Melton Line Upgrade\05 Civil\09 12d Model\01 Inputs Projects\Survey.12dModel</t>
  </si>
  <si>
    <t>C:\pw_12d\kbr-au-pw-06\MET750\181 - Melton Line Upgrade – Development Phase\13 Survey\04 Survey Models</t>
  </si>
  <si>
    <t>CSP Re Established Cadastral</t>
  </si>
  <si>
    <t>DPK Re Established Cadastral</t>
  </si>
  <si>
    <t>MEL Re Estblished Cadastral</t>
  </si>
  <si>
    <t>RBK Re Established Cadastral</t>
  </si>
  <si>
    <t>TLN Re Estblished Cadastral</t>
  </si>
  <si>
    <t>NWP-714-C-NWA-M3D-00-RBK-CUT-EX01</t>
  </si>
  <si>
    <t>NWP-714-C-NWA-M3D-00-TLN-CUT-EX01</t>
  </si>
  <si>
    <t>C:\pw_12d\kbr-au-pw-06\MET750\172 - Melton LX\13 Survey\04 Utility Models\IFC</t>
  </si>
  <si>
    <t>C:\pw_12d\kbr-au-pw-06\MET750\212 - Melton Line Upgrade\13 Survey\04 Utility Models</t>
  </si>
  <si>
    <t>C:\pw_12d\kbr-au-pw-06\MET750\172 - Melton LX\13 Survey\04 Utility Models</t>
  </si>
  <si>
    <t>C:\pw_12d\kbr-au-pw-06\MET750\181 - Melton Line Upgrade – Development Phase\13 Survey\04 Utility Models\IFC</t>
  </si>
  <si>
    <t>C:\pw_12d\kbr-au-pw-06\MET750\212 - Melton Line Upgrade\13 Survey\04 Utility Models\IFC</t>
  </si>
  <si>
    <t>C:\pw_12d\kbr-au-pw-06\MET750\212 - Melton Line Upgrade\05 Civil\09 12d Model\01 Inputs Projects\Utilities Survey.12dModel</t>
  </si>
  <si>
    <t>C:\pw_12d\kbr-au-pw-06\MET750\172 - Melton LX\05 Civil\09 12d Model\01 Inputs Projects\Utilities Survey.12dModel</t>
  </si>
  <si>
    <t>NWP-714-C-NWA-M2D-00-COY-ETN-DE01</t>
  </si>
  <si>
    <t>OHW/Cobblebank</t>
  </si>
  <si>
    <t>MLU 212 - Train Electrical Network</t>
  </si>
  <si>
    <t>OHW</t>
  </si>
  <si>
    <t>C:\pw_12d\kbr-au-pw-06\MET750\212 - Melton Line Upgrade\05 Civil\09 12d Model\01 Inputs Projects\MLU Train Electrical Network.12dModel</t>
  </si>
  <si>
    <t>C:\pw_12d\kbr-au-pw-06\MET750\212 - Melton Line Upgrade\11 Train Electrical Network\04 Models</t>
  </si>
  <si>
    <t>Stabling Yard</t>
  </si>
  <si>
    <t>Civil</t>
  </si>
  <si>
    <t>Webster LX</t>
  </si>
  <si>
    <t>NWP-075-C-NWA-IFC-00-DNG-CUT-EX01</t>
  </si>
  <si>
    <t>NWP-075-C-NWA-M3D-00-DNG-CUT-EX01</t>
  </si>
  <si>
    <t>SURVEY SITE Utility</t>
  </si>
  <si>
    <t>Combined Mesh</t>
  </si>
  <si>
    <t>Combined Strings</t>
  </si>
  <si>
    <t>C:\pw_12d\kbr-au-pw-06\MET750\192 - Webster St Level Crossing\05 Civil\09 12d Model\01 Inputs Projects\Webster LX Survey.12dModel</t>
  </si>
  <si>
    <t>C:\pw_12d\kbr-au-pw-06\MET750\192 - Webster St Level Crossing\13 Survey\04 Utility Models\IFC</t>
  </si>
  <si>
    <t>C:\pw_12d\kbr-au-pw-06\MET750\192 - Webster St Level Crossing\13 Survey\04 Utility Models</t>
  </si>
  <si>
    <t>NWP-714-C-NWA-M2D-00-COY-CFN-DE60</t>
  </si>
  <si>
    <t>CFN</t>
  </si>
  <si>
    <t>PERMANENT FENCING</t>
  </si>
  <si>
    <t>MLU 212 - Building Services</t>
  </si>
  <si>
    <t>Building Services/Cobblebank</t>
  </si>
  <si>
    <t>Building Services/Rockbank</t>
  </si>
  <si>
    <t>BHS</t>
  </si>
  <si>
    <t>BSG</t>
  </si>
  <si>
    <t>BES</t>
  </si>
  <si>
    <t>Hydraulic</t>
  </si>
  <si>
    <t>Electrical</t>
  </si>
  <si>
    <t>Fire Services</t>
  </si>
  <si>
    <t>NWP-714-C-NWA-IFC-00-COY-BHS-3D01</t>
  </si>
  <si>
    <t>NWP-714-C-NWA-IFC-00-RBK-BHS-3D01</t>
  </si>
  <si>
    <t>NWP-714-C-NWA-IFC-00-RBK-BSG-3D01</t>
  </si>
  <si>
    <t>NWP-714-C-NWA-IFC-00-TLN-BHS-3D01</t>
  </si>
  <si>
    <t>NWP-714-C-NWA-IFC-00-TLN-BSG-3D01</t>
  </si>
  <si>
    <t>NWP-714-C-NWA-M2D-00-COY-BES-DE55</t>
  </si>
  <si>
    <t>NWP-714-C-NWA-RVT-00-COY-BES-3D01</t>
  </si>
  <si>
    <t>NWP-714-C-NWA-M3D-00-COY-BES-DE50</t>
  </si>
  <si>
    <t>C:\pw_12d\kbr-au-pw-06\MET750\212 - Melton Line Upgrade\05 Civil\09 12d Model\01 Inputs Projects\Building Services.12dModel</t>
  </si>
  <si>
    <t>C:\pw_12d\kbr-au-pw-06\MET750\212 - Melton Line Upgrade\08 Stations - Building Services\04 Models</t>
  </si>
  <si>
    <t>C:\pw_12d\kbr-au-pw-06\MET750\212 - Melton Line Upgrade\04 Railway Track and Civil\04 Models\DWG Export</t>
  </si>
  <si>
    <t>NWP-714-C-NWA-M3D-00-COY-CRD-EW55</t>
  </si>
  <si>
    <t>NWP-714-C-NWA-M3D-00-COY-CRD-TR55</t>
  </si>
  <si>
    <t>NWP-714-C-NWA-M3D-00-CSP-CRD-TR20</t>
  </si>
  <si>
    <t>NWP-714-C-NWA-M3D-00-CSP-CRD-EW20</t>
  </si>
  <si>
    <t>NWP-714-C-NWA-M3D-00-TLN-CRD-TR40</t>
  </si>
  <si>
    <t>NWP-714-C-NWA-M3D-00-TLN-CRD-EW40</t>
  </si>
  <si>
    <t>Earthworks Strings Paths</t>
  </si>
  <si>
    <t>Earthworks Triangles Paths</t>
  </si>
  <si>
    <t>C:\pw_12d\kbr-au-pw-06\MET750\212 - Melton Line Upgrade\04 Railway Track and Civil\04 Models</t>
  </si>
  <si>
    <t>NWP-714-C-NWA-IFC-00-RBK-CUT-EX01</t>
  </si>
  <si>
    <t>NWP-714-C-NWA-IFC-00-TLN-CUT-EX01</t>
  </si>
  <si>
    <t>C:\pw_12d\kbr-au-pw-06\MET750\202 - Ruthven St Level Crossing\05 Civil\09 12d Model\01 Inputs Projects\Rail.12dModel</t>
  </si>
  <si>
    <t>C:\pw_12d\kbr-au-pw-06\MET750\202 - Ruthven St Level Crossing\04 Railway Track and Civil\04 Models</t>
  </si>
  <si>
    <t>Chainages</t>
  </si>
  <si>
    <t>Existing Chainages</t>
  </si>
  <si>
    <t>Alignment</t>
  </si>
  <si>
    <t>Earthworks String</t>
  </si>
  <si>
    <t>Ruthven 202 - Rail</t>
  </si>
  <si>
    <t>Ruthven 202 - Civil</t>
  </si>
  <si>
    <t>NWP-117-C-NWA-M2D-00-MCD-CFN-DE61</t>
  </si>
  <si>
    <t>NWP-117-C-NWA-M2D-00-MCD-CRG-CH25</t>
  </si>
  <si>
    <t>NWP-117-C-NWA-M2D-00-MCD-CRG-DE25</t>
  </si>
  <si>
    <t>NWP-117-C-NWA-M2D-00-MCD-CRG-DE26</t>
  </si>
  <si>
    <t>NWP-117-C-NWA-M2D-00-MCD-CTW-DE60</t>
  </si>
  <si>
    <t>NWP-117-C-NWA-M3D-00-MCD-CEW-EW25</t>
  </si>
  <si>
    <t>NWP-117-C-NWA-M3D-00-MCD-CEW-EW26</t>
  </si>
  <si>
    <t>NWP-117-C-NWA-M3D-00-MCD-CEW-TR25</t>
  </si>
  <si>
    <t>Fencing Layout</t>
  </si>
  <si>
    <t>Road Chainage</t>
  </si>
  <si>
    <t>Road Functional</t>
  </si>
  <si>
    <t>SUP Functional</t>
  </si>
  <si>
    <t>Delin Fencing Layout</t>
  </si>
  <si>
    <t>C:\pw_12d\kbr-au-pw-06\MET750\202 - Ruthven St Level Crossing\05 Civil\09 12d Model\01 Inputs Projects\Road Geometrics.12dModel</t>
  </si>
  <si>
    <t>C:\pw_12d\kbr-au-pw-06\MET750\202 - Ruthven St Level Crossing\05 Civil\04 Models</t>
  </si>
  <si>
    <t>RG</t>
  </si>
  <si>
    <t>EW</t>
  </si>
  <si>
    <t>FN</t>
  </si>
  <si>
    <t>TW</t>
  </si>
  <si>
    <t>NWP-117-C-NWA-M2D-00-MCD-CSV-CB02</t>
  </si>
  <si>
    <t>NWP-117-C-NWA-M2D-00-MCD-CSV-PB01</t>
  </si>
  <si>
    <t>NWP-117-C-NWA-M3D-00-MCD-CSV-FS01</t>
  </si>
  <si>
    <t>NWP-117-C-NWA-M3D-00-MCD-CSV-TR01</t>
  </si>
  <si>
    <t>Ruthven 202 - Survey</t>
  </si>
  <si>
    <t>Re-Established Cadastral</t>
  </si>
  <si>
    <t>Project Boundary</t>
  </si>
  <si>
    <t>Feature Survey</t>
  </si>
  <si>
    <t>Existing Triangles</t>
  </si>
  <si>
    <t>C:\pw_12d\kbr-au-pw-06\MET750\202 - Ruthven St Level Crossing\13 Survey\04 Survey Models</t>
  </si>
  <si>
    <t>C:\pw_12d\kbr-au-pw-06\MET750\202 - Ruthven St Level Crossing\05 Civil\09 12d Model\01 Inputs Projects\Survey.12dModel</t>
  </si>
  <si>
    <t>Survey</t>
  </si>
  <si>
    <t>NWP-714-C-NWA-RVT-00-RBK-BES-3D01</t>
  </si>
  <si>
    <t>NWP-714-C-NWA-RVT-00-TLN-BES-3D01</t>
  </si>
  <si>
    <t>NWP-714-C-NWA-IFC-00-COY-BSG-3D01</t>
  </si>
  <si>
    <t>NWP-714-C-NWA-IFC-00-COY-BMS-3D01</t>
  </si>
  <si>
    <t>Mechanical</t>
  </si>
  <si>
    <t>BMS</t>
  </si>
  <si>
    <t>Existing Lidar Triangles</t>
  </si>
  <si>
    <t>Ruthven 202 - Survey Utilties</t>
  </si>
  <si>
    <t>Survey Utilties</t>
  </si>
  <si>
    <t>C:\pw_12d\kbr-au-pw-06\MET750\202 - Ruthven St Level Crossing\05 Civil\09 12d Model\01 Inputs Projects\Survey Utilities.12dModel</t>
  </si>
  <si>
    <t>C:\pw_12d\kbr-au-pw-06\MET750\202 - Ruthven St Level Crossing\13 Survey\04 Utility Models\IFC</t>
  </si>
  <si>
    <t>NWP-201-C-NWA-M3D-00-MCD-CUT-EX01</t>
  </si>
  <si>
    <t>NWP-201-C-NWA-IFC-00-RUT-CUT-EX01</t>
  </si>
  <si>
    <t>Utilities Strings</t>
  </si>
  <si>
    <t>Utilities Mesh</t>
  </si>
  <si>
    <t>C:\pw_12d\kbr-au-pw-06\MET750\202 - Ruthven St Level Crossing\13 Survey\04 Utility Models\DWG</t>
  </si>
  <si>
    <t>NWP-201-D-NWA-M3D-00-MCD-CSV-TR02</t>
  </si>
  <si>
    <t>Ruthven 202 - Structures</t>
  </si>
  <si>
    <t>ST</t>
  </si>
  <si>
    <t>C:\pw_12d\kbr-au-pw-06\MET750\202 - Ruthven St Level Crossing\05 Civil\09 12d Model\01 Inputs Projects\Structure.12dModel</t>
  </si>
  <si>
    <t>C:\pw_12d\kbr-au-pw-06\MET750\202 - Ruthven St Level Crossing\06 Civil Structural\04 Models\IFC</t>
  </si>
  <si>
    <t>Building Services/Caroline Springs</t>
  </si>
  <si>
    <t>Building Services/Deer Park</t>
  </si>
  <si>
    <t>NWP-212-D-NWA-RVT-00-CSP-BES-3D01</t>
  </si>
  <si>
    <t>NWP-212-D-NWA-RVT-00-CSP-BHS-3D01</t>
  </si>
  <si>
    <t>NWP-212-D-NWA-RVT-00-DPK-BES-3D01</t>
  </si>
  <si>
    <t>NWP-212-D-NWA-RVT-00-DPK-BHS-3D01</t>
  </si>
  <si>
    <t>NWP-212-D-NWA-RVT-00-DPK-BSG-3D01</t>
  </si>
  <si>
    <t>NWP-714-C-NWA-M2D-00-COY-CUT-UT01</t>
  </si>
  <si>
    <t>MLU 212 - Utilities Proposed</t>
  </si>
  <si>
    <t>Utilities Proposed/Cobblebank</t>
  </si>
  <si>
    <t>UT</t>
  </si>
  <si>
    <t>COY Utilities Proposed</t>
  </si>
  <si>
    <t>C:\pw_12d\kbr-au-pw-06\MET750\212 - Melton Line Upgrade\05 Civil\09 12d Model\01 Inputs Projects\Utilities Proposed.12dModel</t>
  </si>
  <si>
    <t>C:\pw_12d\kbr-au-pw-06\MET750\212 - Melton Line Upgrade\13 Survey\04 Utility Models\ACAD</t>
  </si>
  <si>
    <t>NWP-075-C-NWA-M3D-00-DNG-CUT-AB01</t>
  </si>
  <si>
    <t>NWP-075-C-NWA-IFC-00-DNG-CUT-AB01</t>
  </si>
  <si>
    <t>AB</t>
  </si>
  <si>
    <t>Asbuilt Utilities Strings</t>
  </si>
  <si>
    <t>Asbuilt Utilities Solids</t>
  </si>
  <si>
    <t>C:\pw_12d\kbr-au-pw-06\MET750\192 - Webster St Level Crossing\13 Survey\04 Utility Models\CAD_Export</t>
  </si>
  <si>
    <t>NWP-117-C-NWA-M2D-00-MCD-CPW-CH20</t>
  </si>
  <si>
    <t>NWP-117-C-NWA-M2D-00-MCD-CPW-CH99</t>
  </si>
  <si>
    <t>NWP-117-C-NWA-M2D-00-MCD-CPW-DE20</t>
  </si>
  <si>
    <t>NWP-117-C-NWA-M3D-00-MCD-CPW-DE23</t>
  </si>
  <si>
    <t>NWP-117-C-NWA-M3D-00-MCD-CRF-EW30</t>
  </si>
  <si>
    <t>NWP-117-C-NWA-M3D-00-MCD-CRF-TR30</t>
  </si>
  <si>
    <t>NWP-117-C-NWA-M2D-00-MCD-CMA-DE20</t>
  </si>
  <si>
    <t>RPV PAD LAYOUT</t>
  </si>
  <si>
    <t>NWP-061-C-NWA-M2D-00-PKM-CPW-CH01</t>
  </si>
  <si>
    <t>1120 PERMANENT TRACK ALIGNMENT CHAINAGES</t>
  </si>
  <si>
    <t>C:\pw_12d\kbr-au-pw-06\MET750\103 - Pakenham\04 Railway Track and Civil\04 Models</t>
  </si>
  <si>
    <t>NWP-061-C-NWA-M2D-00-PKM-CPW-CH10</t>
  </si>
  <si>
    <t>1120 PERMANENT TURNOUT CHAINAGE</t>
  </si>
  <si>
    <t>NWP-061-C-NWA-M2D-00-PKM-CPW-CH30</t>
  </si>
  <si>
    <t>1110 STAGE 3 TURNOUT CHAINAGE</t>
  </si>
  <si>
    <t>NWP-061-C-NWA-M2D-00-PKM-CPW-CH80</t>
  </si>
  <si>
    <t>1110 STAGE 1 TRACK ALIGNMENT CHAINAGES</t>
  </si>
  <si>
    <t>NWP-061-C-NWA-M2D-00-PKM-CPW-CH90</t>
  </si>
  <si>
    <t>1110 STAGE 3 TRACK ALIGNMENT CHAINAGES</t>
  </si>
  <si>
    <t>NWP-061-C-NWA-M3D-00-PKM-CPW-DE01</t>
  </si>
  <si>
    <t>1120 PERMANENT TRACK ALIGNMENT LAYOUT</t>
  </si>
  <si>
    <t>NWP-061-C-NWA-M3D-00-PKM-CPW-DE80</t>
  </si>
  <si>
    <t>1110 STAGE 1 TRACK ALIGNMENT LAYOUT</t>
  </si>
  <si>
    <t>NWP-061-C-NWA-M3D-00-PKM-CPW-DE90</t>
  </si>
  <si>
    <t>1110 STAGE 3 TRACK ALIGNMENT LAYOUT</t>
  </si>
  <si>
    <t>NWP-061-C-NWA-M3D-00-PKM-CRF-EW10</t>
  </si>
  <si>
    <t>1130 PERMANENT RAIL EARTHWORKS</t>
  </si>
  <si>
    <t>NWP-061-C-NWA-M3D-00-PKM-CRF-EW80</t>
  </si>
  <si>
    <t>1111 STAGE 1 RAIL EARTHWORKS</t>
  </si>
  <si>
    <t>NWP-061-C-NWA-M3D-00-PKM-CRF-EW90</t>
  </si>
  <si>
    <t>1111 STAGE 3 RAIL EARTHWORKS</t>
  </si>
  <si>
    <t>NWP-061-C-NWA-M3D-00-PKM-CRF-TR10</t>
  </si>
  <si>
    <t>1130 PERMANENT RAIL TRIANGLES</t>
  </si>
  <si>
    <t>NWP-061-C-NWA-M3D-00-PKM-CRF-TR20</t>
  </si>
  <si>
    <t>1130 PERMANENT RAIL TRIANGLES BALLAST ONLY</t>
  </si>
  <si>
    <t>NWP-061-C-NWA-M3D-00-PKM-CRF-TR30</t>
  </si>
  <si>
    <t>1130 PERMANENT RAIL TRIANGLES PATHWAYS</t>
  </si>
  <si>
    <t>NWP-061-C-NWA-M3D-00-PKM-CRF-TR40</t>
  </si>
  <si>
    <t>1130 PERMANENT RAIL TRIANGLES PATHWAYS - ADDITIONAL</t>
  </si>
  <si>
    <t>NWP-061-C-NWA-M3D-00-PKM-CRF-TR60</t>
  </si>
  <si>
    <t>1238 HI RAIL PAD TRIANGLES</t>
  </si>
  <si>
    <t>NWP-061-C-NWA-M3D-00-PKM-CRF-TR70</t>
  </si>
  <si>
    <t>1111 STAGE 3 RAIL TRIANGLES PATHWAYS</t>
  </si>
  <si>
    <t>NWP-061-C-NWA-M3D-00-PKM-CRF-TR80</t>
  </si>
  <si>
    <t>1111 STAGE 1 RAIL TRIANGLES</t>
  </si>
  <si>
    <t>NWP-061-C-NWA-M3D-00-PKM-CRF-TR90</t>
  </si>
  <si>
    <t>1111 STAGE 3 RAIL TRIANGLES</t>
  </si>
  <si>
    <t>NWP-061-C-NWA-MOD-00-PKM-CPW-DE70</t>
  </si>
  <si>
    <t>1120 PERMANENT RAIL AND SLEEPERS COMPONENTS</t>
  </si>
  <si>
    <t>NWP-061-C-NWA-MOD-00-PKM-CPW-DE90</t>
  </si>
  <si>
    <t>1111 STAGE 3 RAIL AND SLEEPER COMPONENTS</t>
  </si>
  <si>
    <t>C:\pw_12d\kbr-au-pw-06\MET750\103 - Pakenham\05 Civil\09 12d Model\01 Inputs Projects\Rail\Rail BP.12dModel</t>
  </si>
  <si>
    <t>NWP-061-C-NWA-M3D-00-CDA-CRG-TR30</t>
  </si>
  <si>
    <t>NWP-061-C-NWA-M3D-00-PKM-CRG-TR02</t>
  </si>
  <si>
    <t>NWP-061-C-NWA-M3D-00-PKM-CRG-TR34</t>
  </si>
  <si>
    <t>NWP-061-C-NWA-M3D-00-PKM-CRG-TR38</t>
  </si>
  <si>
    <t>NWP-062-C-NWA-M3D-00-CDA-CRG-TR31</t>
  </si>
  <si>
    <t>NWP-062-C-NWA-M3D-00-PKM-CRG-TR20</t>
  </si>
  <si>
    <t>NWP-062-D-NWA-M3D-00-CDA-CRG-TR41</t>
  </si>
  <si>
    <t>NWP-070-C-NWA-M3D-00-EPH-CRG-TR21</t>
  </si>
  <si>
    <t>NWP-070-C-NWA-M3D-00-EPH-CRG-TR33</t>
  </si>
  <si>
    <t>NWP-061-C-NWA-M3D-00-CDA-CEW-EW30</t>
  </si>
  <si>
    <t>NWP-061-C-NWA-M3D-00-PKM-CEW-EW34</t>
  </si>
  <si>
    <t>NWP-061-C-NWA-M3D-00-PKM-CEW-EW38</t>
  </si>
  <si>
    <t>NWP-062-C-NWA-M3D-00-CDA-CEW-EW31</t>
  </si>
  <si>
    <t>NWP-062-C-NWA-M3D-00-PKM-CEW-EW20</t>
  </si>
  <si>
    <t>NWP-062-D-NWA-M3D-00-CDA-CRG-EW41</t>
  </si>
  <si>
    <t>NWP-070-C-NWA-M3D-00-EPH-CEW-EW33</t>
  </si>
  <si>
    <t>NWP-070-C-NWA-M3D-00-EPH-CRG-EW21</t>
  </si>
  <si>
    <t>Cardinia/Civil</t>
  </si>
  <si>
    <t>Pakenham/Civil</t>
  </si>
  <si>
    <t>East Pakenham/Civil</t>
  </si>
  <si>
    <t>1230 CIVIL ROADWORKS MCGREGOR ROAD</t>
  </si>
  <si>
    <t>1190 CIVIL WORKS FUTUREPROOFING</t>
  </si>
  <si>
    <t>1234 CIVIL PATHS</t>
  </si>
  <si>
    <t>1238 HIGHRAIL ACCESS PAD AND SIDING</t>
  </si>
  <si>
    <t>1231 CIVIL ROADWORKS MAIN STREET</t>
  </si>
  <si>
    <t>1420 CIVIL PRECINCT PAKENHAM</t>
  </si>
  <si>
    <t>1241 JOHN STREET CONCEPT</t>
  </si>
  <si>
    <t>1421 CIVIL PRECINCT</t>
  </si>
  <si>
    <t>1233 CIVIL ROADWORKS RYAN ROAD</t>
  </si>
  <si>
    <t>1230 CIVIL ROADWORKS MCGREGOR ROAD EARTHWORKS</t>
  </si>
  <si>
    <t>1234 CIVIL PATHS EARTHWORKS</t>
  </si>
  <si>
    <t>1238 HIGHRAIL ACCESS PAD AND SIDING EARTHWORKS</t>
  </si>
  <si>
    <t>1231 CIVIL ROADWORKS MAIN STREET EARTHWORKS</t>
  </si>
  <si>
    <t>1420 CIVIL PRECINCT PAKENHAM EARTHWORKS</t>
  </si>
  <si>
    <t>1241 JOHN STREET CONCEPT EARTHWORKS</t>
  </si>
  <si>
    <t>1233 CIVIL ROADWORKS RYAN ROAD EARTHWORKS</t>
  </si>
  <si>
    <t>1421 CIVIL PRECINCT EAST PAKENHAM EARTHWORKS</t>
  </si>
  <si>
    <t>Pakenham Rail</t>
  </si>
  <si>
    <t>Pakenham Civil</t>
  </si>
  <si>
    <t>C:\pw_12d\kbr-au-pw-06\MET750\103 - Pakenham\05 Civil\04 Models</t>
  </si>
  <si>
    <t>C:\pw_12d\kbr-au-pw-06\MET750\103 - Pakenham\05 Civil\09 12d Model\01 Inputs Projects\Geometrics\Civil BP.12dModel</t>
  </si>
  <si>
    <t>Pakenham Structures</t>
  </si>
  <si>
    <t>NWP-061-C-NWA-IFC-00-CDA-CBR-DE01</t>
  </si>
  <si>
    <t>NWP-061-C-NWA-IFC-00-CDA-CBR-DE11</t>
  </si>
  <si>
    <t>NWP-061-C-NWA-IFC-00-CDA-CBR-DE26</t>
  </si>
  <si>
    <t>NWP-061-C-NWA-IFC-00-CDA-CBR-DE21</t>
  </si>
  <si>
    <t>NWP-061-C-NWA-IFC-00-CDA-CDS-DE01</t>
  </si>
  <si>
    <t>NWP-061-C-NWA-IFC-00-CDA-CSW-RW01</t>
  </si>
  <si>
    <t>NWP-061-C-NWA-IFC-00-CDA-CSW-RW11</t>
  </si>
  <si>
    <t>NWP-061-C-NWA-IFC-00-EPH-CBA-DE01</t>
  </si>
  <si>
    <t>NWP-061-C-NWA-IFC-00-EPH-CBR-DE41</t>
  </si>
  <si>
    <t>NWP-061-C-NWA-IFC-00-EPH-CBA-DE02</t>
  </si>
  <si>
    <t>NWP-061-C-NWA-IFC-00-EPH-CDS-DE01</t>
  </si>
  <si>
    <t>Cardinia/Structures</t>
  </si>
  <si>
    <t>East Pakenham/Structures</t>
  </si>
  <si>
    <t>Pakenham/Structures</t>
  </si>
  <si>
    <t>1320 SUBSTRUCTURE UP &amp; DOWN TRACK PILES AND PILE CAPS</t>
  </si>
  <si>
    <t>1330 SUBSTRUCTURE UP DOWN TRACK PIERS ABUTMENTS</t>
  </si>
  <si>
    <t>1340 SUPERSTRUCTURE UP TRACK U-TROUGHS</t>
  </si>
  <si>
    <t>1340 SUPERSTRUCTURE DOWN TRACK UTROUGHS</t>
  </si>
  <si>
    <t>1240 DRAINAGE PITS</t>
  </si>
  <si>
    <t>1360 RETAINING WALL UP</t>
  </si>
  <si>
    <t>1360 RETAINING WALL DN</t>
  </si>
  <si>
    <t>1395 DERAILMENT KERB UP DOWN TRACK</t>
  </si>
  <si>
    <t>1395 EXISTING PRINCES FREEWAY BRIDGES IN OUT BOUND</t>
  </si>
  <si>
    <t>1390 EAST PAKENHAM UNDERPASS</t>
  </si>
  <si>
    <t>1362 RETAINING WALL UP</t>
  </si>
  <si>
    <t>1320 SUBSTRUCTURE UP DOWN TRACK PILES PILE CAPS</t>
  </si>
  <si>
    <t>1330 SUBSTRUCTURE UP &amp; DOWN TRACK PIERS AND ABUTMENTS</t>
  </si>
  <si>
    <t>1340 SUPERSTRUCTURE UP TRACKUTROUGHS</t>
  </si>
  <si>
    <t>1380 PAKENHAM CREEK CULVERT</t>
  </si>
  <si>
    <t>1380 PAKENHAM CREEK EXISTING BRIDGE</t>
  </si>
  <si>
    <t>1380 DEEP CREEK CULVERT</t>
  </si>
  <si>
    <t>1380 DEEP CREEK EXISTING BRIDGE</t>
  </si>
  <si>
    <t>1361 RETAINING WALL UP</t>
  </si>
  <si>
    <t>1362 RETAINING WALL DN</t>
  </si>
  <si>
    <t>1361 RETAINING WALL DN</t>
  </si>
  <si>
    <t>1362 PAKENHAM GROUND IMPROVEMENTS</t>
  </si>
  <si>
    <t>NWP-061-C-NWA-IFC-00-EPH-CSW-RW33</t>
  </si>
  <si>
    <t>NWP-061-C-NWA-IFC-00-PKM-CBR-DE01</t>
  </si>
  <si>
    <t>NWP-061-C-NWA-IFC-00-PKM-CBR-DE11</t>
  </si>
  <si>
    <t>NWP-061-C-NWA-IFC-00-PKM-CBR-DE21</t>
  </si>
  <si>
    <t>NWP-061-C-NWA-IFC-00-PKM-CBR-DE26</t>
  </si>
  <si>
    <t>NWP-061-C-NWA-IFC-00-PKM-CBR-DE31</t>
  </si>
  <si>
    <t>NWP-061-C-NWA-IFC-00-PKM-CBR-DE32</t>
  </si>
  <si>
    <t>NWP-061-C-NWA-IFC-00-PKM-CBR-DE36</t>
  </si>
  <si>
    <t>NWP-061-C-NWA-IFC-00-PKM-CBR-DE37</t>
  </si>
  <si>
    <t>NWP-061-C-NWA-IFC-00-PKM-CDS-DE01</t>
  </si>
  <si>
    <t>NWP-061-C-NWA-IFC-00-PKM-CSW-RW21</t>
  </si>
  <si>
    <t>NWP-061-C-NWA-IFC-00-PKM-CSW-RW31</t>
  </si>
  <si>
    <t>NWP-061-C-NWA-IFC-00-PKM-CSW-RW32</t>
  </si>
  <si>
    <t>NWP-061-C-NWA-IFC-00-PKM-CSW-RW33</t>
  </si>
  <si>
    <t>NWP-061-C-NWA-IFC-00-PKM-CSW-RW36</t>
  </si>
  <si>
    <t>C:\pw_12d\kbr-au-pw-06\MET750\103 - Pakenham\06 Civil Structural\04 Models\IFC Files</t>
  </si>
  <si>
    <t>C:\pw_12d\kbr-au-pw-06\MET750\103 - Pakenham\05 Civil\09 12d Model\01 Inputs Projects\Structures\Structures BP.12dModel</t>
  </si>
  <si>
    <t>0340 SUPERSTRUCTURE UP TRACK U-TROUGHS</t>
  </si>
  <si>
    <t>0340 SUPERSTRUCTURE DOWN TRACK U-TROUGHS</t>
  </si>
  <si>
    <t>0320 SUBSTRUCTURE UP DN TRACK ABUTMENTS</t>
  </si>
  <si>
    <t>0370 ANCILLARIES UP TRACK</t>
  </si>
  <si>
    <t>0370 ANCILLARIES DN TRACK</t>
  </si>
  <si>
    <t>0360 RETAINING WALL UP TRACK</t>
  </si>
  <si>
    <t>0360 RETAINING WALL DOWN TRACK</t>
  </si>
  <si>
    <t>NWP-117-C-NWA-IFC-00-MCD-CBR-DE21</t>
  </si>
  <si>
    <t>NWP-117-C-NWA-IFC-00-MCD-CBR-DE31</t>
  </si>
  <si>
    <t>NWP-117-C-NWA-IFC-00-MCD-CBR-DE41</t>
  </si>
  <si>
    <t>NWP-117-C-NWA-IFC-00-MCD-CSF-DE02</t>
  </si>
  <si>
    <t>NWP-117-C-NWA-IFC-00-MCD-CSF-DE01</t>
  </si>
  <si>
    <t>NWP-117-C-NWA-IFC-00-MCD-CSW-RW01</t>
  </si>
  <si>
    <t>NWP-117-C-NWA-IFC-00-MCD-CSW-RW11</t>
  </si>
  <si>
    <t>NWP-117-C-NWA-IFC-00-MCD-CBR-DE01</t>
  </si>
  <si>
    <t>0320 SUBSTRUCTURE UP DN TRACK PILES</t>
  </si>
  <si>
    <t>NWP-117-C-NWA-M2D-00-MCD-CMA-DE91</t>
  </si>
  <si>
    <t>Maintenance Access Layout</t>
  </si>
  <si>
    <t>C:\pw_12d\kbr-au-pw-06\MET750\202 - Ruthven St Level Crossing\05 Civil\04 Models\DWG Conversions</t>
  </si>
  <si>
    <t>NWP-117-C-NWA-M2D-00-MCD-CSR-CR20</t>
  </si>
  <si>
    <t>CSR Layout</t>
  </si>
  <si>
    <t>Civil Structures</t>
  </si>
  <si>
    <t>NWP-714-C-NWA-M3D-00-COY-CEW-CD30</t>
  </si>
  <si>
    <t>NWP-714-C-NWA-M3D-00-COY-CEW-EW30</t>
  </si>
  <si>
    <t>NWP-714-C-NWA-M3D-00-COY-CEW-TR30</t>
  </si>
  <si>
    <t>NWP-714-C-NWA-IFC-00-COY-CEW-EW40</t>
  </si>
  <si>
    <t>NWP-714-C-NWA-IFC-00-COY-CSR-DE20</t>
  </si>
  <si>
    <t>CSR</t>
  </si>
  <si>
    <t>EARTHWORKS SOLIDS</t>
  </si>
  <si>
    <t>C:\pw_12d\kbr-au-pw-06\MET750\212 - Melton Line Upgrade\05 Civil\04 Models\IFC Files</t>
  </si>
  <si>
    <t>XXX-XXX-X-XXX-IFC-XX-XXX-BMS-3D01</t>
  </si>
  <si>
    <t>XXX-XXX-X-XXX-IFC-XX-XXX-BSG-3D01</t>
  </si>
  <si>
    <t>XXX-XXX-X-XXX-IFC-XX-XXX-CEW-EW40</t>
  </si>
  <si>
    <t>XXX-XXX-X-XXX-IFC-XX-XXX-CSR-DE01</t>
  </si>
  <si>
    <t>XXX-XXX-X-XXX-M2D-XX-XXX-BES-DE01</t>
  </si>
  <si>
    <t>XXX-XXX-X-XXX-M2D-XX-XXX-BHS-DE01</t>
  </si>
  <si>
    <t>XXX-XXX-X-XXX-M2D-XX-XXX-BSG-DE01</t>
  </si>
  <si>
    <t>XXX-XXX-X-XXX-M2D-XX-XXX-CFN-DE01</t>
  </si>
  <si>
    <t>XXX-XXX-X-XXX-M2D-XX-XXX-CRG-DE01</t>
  </si>
  <si>
    <t>XXX-XXX-X-XXX-M3D-XX-XXX-CEW-EW01</t>
  </si>
  <si>
    <t>XXX-XXX-X-XXX-M3D-XX-XXX-CEW-TR01</t>
  </si>
  <si>
    <t>Building Services/Mechanical</t>
  </si>
  <si>
    <t>Building Services/Fire</t>
  </si>
  <si>
    <t>Civil/Earthworks</t>
  </si>
  <si>
    <t>Civil/CSR</t>
  </si>
  <si>
    <t>Building Services/Electrical</t>
  </si>
  <si>
    <t>Building Services/Hydraulic</t>
  </si>
  <si>
    <t>Civil/Roads</t>
  </si>
  <si>
    <t>XXX-XXX-X-XXX-M3D-XX-XXX-CEW-TR02</t>
  </si>
  <si>
    <t>Civil/Fencing</t>
  </si>
  <si>
    <t>CEW</t>
  </si>
  <si>
    <t>CRG</t>
  </si>
  <si>
    <t>Mechanical Services</t>
  </si>
  <si>
    <t>Combined Services</t>
  </si>
  <si>
    <t>Electrical Services</t>
  </si>
  <si>
    <t>Hydraulic Services</t>
  </si>
  <si>
    <t>Fire Services Station</t>
  </si>
  <si>
    <t>Fire Services External</t>
  </si>
  <si>
    <t>Road Earthworks</t>
  </si>
  <si>
    <t>Road 01 Surface</t>
  </si>
  <si>
    <t>Road 02 Surface</t>
  </si>
  <si>
    <t>Road 01 Functional</t>
  </si>
  <si>
    <t>Earthworks Functional</t>
  </si>
  <si>
    <t>C:\Users\K132177\Documents\12d\TrainingProj\12dpychain\12dpychain\models</t>
  </si>
  <si>
    <t>C:\Users\K132177\Documents\12d\TrainingProj\12dpychain\12dpychain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</si>
</sst>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2" fontId="0" fillId="0" borderId="0" xfId="0" applyNumberForma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50C9-844C-424D-8168-97FB11C22078}">
  <dimension ref="A1:H251"/>
  <sheetViews>
    <sheetView tabSelected="1" workbookViewId="0">
      <pane ySplit="1" topLeftCell="A239" activePane="bottomLeft" state="frozen"/>
      <selection pane="bottomLeft" activeCell="B268" sqref="B268"/>
    </sheetView>
  </sheetViews>
  <sheetFormatPr defaultRowHeight="15" x14ac:dyDescent="0.25"/>
  <cols>
    <col min="1" max="1" width="38.140625" bestFit="1" customWidth="1"/>
    <col min="2" max="2" width="25" customWidth="1"/>
    <col min="4" max="4" width="21.42578125" customWidth="1"/>
    <col min="5" max="5" width="17.42578125" bestFit="1" customWidth="1"/>
    <col min="7" max="7" width="65.7109375" customWidth="1"/>
    <col min="8" max="8" width="55.42578125" customWidth="1"/>
  </cols>
  <sheetData>
    <row r="1" spans="1:8" s="1" customFormat="1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78</v>
      </c>
      <c r="H1" s="1" t="s">
        <v>79</v>
      </c>
    </row>
    <row r="2" spans="1:8" x14ac:dyDescent="0.25">
      <c r="A2" s="1" t="s">
        <v>45</v>
      </c>
      <c r="B2" s="1"/>
      <c r="C2" s="1"/>
      <c r="D2" s="1"/>
      <c r="E2" s="1"/>
      <c r="F2" s="1"/>
    </row>
    <row r="3" spans="1:8" x14ac:dyDescent="0.25">
      <c r="A3" t="s">
        <v>131</v>
      </c>
      <c r="B3" t="s">
        <v>132</v>
      </c>
      <c r="C3" t="s">
        <v>25</v>
      </c>
      <c r="D3" t="s">
        <v>133</v>
      </c>
      <c r="E3" t="str">
        <f>IF(ISNUMBER(SEARCH("M2D",A3)),"2D","3D")</f>
        <v>2D</v>
      </c>
      <c r="F3" t="str">
        <f>RIGHT(A3, 4)</f>
        <v>PB01</v>
      </c>
      <c r="G3" t="s">
        <v>150</v>
      </c>
      <c r="H3" t="s">
        <v>149</v>
      </c>
    </row>
    <row r="4" spans="1:8" x14ac:dyDescent="0.25">
      <c r="A4" t="s">
        <v>147</v>
      </c>
      <c r="B4" t="s">
        <v>30</v>
      </c>
      <c r="C4" t="s">
        <v>25</v>
      </c>
      <c r="D4" t="s">
        <v>145</v>
      </c>
      <c r="E4" t="str">
        <f t="shared" ref="E4:E29" si="0">IF(ISNUMBER(SEARCH("M2D",A4)),"2D","3D")</f>
        <v>3D</v>
      </c>
      <c r="F4" t="str">
        <f>RIGHT(A4, 4)</f>
        <v>TR10</v>
      </c>
      <c r="G4" t="s">
        <v>150</v>
      </c>
      <c r="H4" t="s">
        <v>151</v>
      </c>
    </row>
    <row r="5" spans="1:8" x14ac:dyDescent="0.25">
      <c r="A5" t="s">
        <v>7</v>
      </c>
      <c r="B5" t="s">
        <v>27</v>
      </c>
      <c r="C5" t="s">
        <v>25</v>
      </c>
      <c r="D5" t="s">
        <v>31</v>
      </c>
      <c r="E5" t="str">
        <f t="shared" si="0"/>
        <v>3D</v>
      </c>
      <c r="F5" t="str">
        <f>RIGHT(A5, 4)</f>
        <v>TR01</v>
      </c>
      <c r="G5" t="s">
        <v>150</v>
      </c>
      <c r="H5" t="s">
        <v>149</v>
      </c>
    </row>
    <row r="6" spans="1:8" x14ac:dyDescent="0.25">
      <c r="A6" t="s">
        <v>8</v>
      </c>
      <c r="B6" t="s">
        <v>28</v>
      </c>
      <c r="C6" t="s">
        <v>25</v>
      </c>
      <c r="D6" t="s">
        <v>152</v>
      </c>
      <c r="E6" t="str">
        <f t="shared" si="0"/>
        <v>2D</v>
      </c>
      <c r="F6" t="str">
        <f t="shared" ref="F6:F30" si="1">RIGHT(A6, 4)</f>
        <v>CB01</v>
      </c>
      <c r="G6" t="s">
        <v>150</v>
      </c>
      <c r="H6" t="s">
        <v>149</v>
      </c>
    </row>
    <row r="7" spans="1:8" x14ac:dyDescent="0.25">
      <c r="A7" t="s">
        <v>9</v>
      </c>
      <c r="B7" t="s">
        <v>27</v>
      </c>
      <c r="C7" t="s">
        <v>25</v>
      </c>
      <c r="D7" t="s">
        <v>153</v>
      </c>
      <c r="E7" t="str">
        <f t="shared" si="0"/>
        <v>2D</v>
      </c>
      <c r="F7" t="str">
        <f t="shared" si="1"/>
        <v>CB01</v>
      </c>
      <c r="G7" t="s">
        <v>150</v>
      </c>
      <c r="H7" t="s">
        <v>149</v>
      </c>
    </row>
    <row r="8" spans="1:8" x14ac:dyDescent="0.25">
      <c r="A8" t="s">
        <v>134</v>
      </c>
      <c r="B8" t="s">
        <v>136</v>
      </c>
      <c r="C8" t="s">
        <v>25</v>
      </c>
      <c r="D8" t="s">
        <v>137</v>
      </c>
      <c r="E8" t="str">
        <f t="shared" si="0"/>
        <v>2D</v>
      </c>
      <c r="F8" t="str">
        <f t="shared" si="1"/>
        <v>CB01</v>
      </c>
      <c r="G8" t="s">
        <v>150</v>
      </c>
      <c r="H8" t="s">
        <v>149</v>
      </c>
    </row>
    <row r="9" spans="1:8" x14ac:dyDescent="0.25">
      <c r="A9" t="s">
        <v>135</v>
      </c>
      <c r="B9" t="s">
        <v>136</v>
      </c>
      <c r="C9" t="s">
        <v>25</v>
      </c>
      <c r="D9" t="s">
        <v>154</v>
      </c>
      <c r="E9" t="str">
        <f t="shared" si="0"/>
        <v>2D</v>
      </c>
      <c r="F9" t="str">
        <f t="shared" si="1"/>
        <v>CB02</v>
      </c>
      <c r="G9" t="s">
        <v>150</v>
      </c>
      <c r="H9" t="s">
        <v>149</v>
      </c>
    </row>
    <row r="10" spans="1:8" x14ac:dyDescent="0.25">
      <c r="A10" t="s">
        <v>10</v>
      </c>
      <c r="B10" t="s">
        <v>29</v>
      </c>
      <c r="C10" t="s">
        <v>25</v>
      </c>
      <c r="D10" t="s">
        <v>155</v>
      </c>
      <c r="E10" t="str">
        <f t="shared" si="0"/>
        <v>2D</v>
      </c>
      <c r="F10" t="str">
        <f t="shared" si="1"/>
        <v>CB01</v>
      </c>
      <c r="G10" t="s">
        <v>150</v>
      </c>
      <c r="H10" t="s">
        <v>149</v>
      </c>
    </row>
    <row r="11" spans="1:8" x14ac:dyDescent="0.25">
      <c r="A11" t="s">
        <v>138</v>
      </c>
      <c r="B11" t="s">
        <v>30</v>
      </c>
      <c r="C11" t="s">
        <v>25</v>
      </c>
      <c r="D11" t="s">
        <v>156</v>
      </c>
      <c r="E11" t="str">
        <f t="shared" si="0"/>
        <v>2D</v>
      </c>
      <c r="F11" t="str">
        <f t="shared" si="1"/>
        <v>CB01</v>
      </c>
      <c r="G11" t="s">
        <v>150</v>
      </c>
      <c r="H11" t="s">
        <v>149</v>
      </c>
    </row>
    <row r="12" spans="1:8" x14ac:dyDescent="0.25">
      <c r="A12" t="s">
        <v>11</v>
      </c>
      <c r="B12" t="s">
        <v>30</v>
      </c>
      <c r="C12" t="s">
        <v>25</v>
      </c>
      <c r="D12" t="s">
        <v>39</v>
      </c>
      <c r="E12" t="str">
        <f t="shared" si="0"/>
        <v>3D</v>
      </c>
      <c r="F12" t="str">
        <f t="shared" si="1"/>
        <v>FS01</v>
      </c>
      <c r="G12" t="s">
        <v>150</v>
      </c>
      <c r="H12" t="s">
        <v>149</v>
      </c>
    </row>
    <row r="13" spans="1:8" x14ac:dyDescent="0.25">
      <c r="A13" t="s">
        <v>12</v>
      </c>
      <c r="B13" t="s">
        <v>30</v>
      </c>
      <c r="C13" t="s">
        <v>25</v>
      </c>
      <c r="D13" t="s">
        <v>148</v>
      </c>
      <c r="E13" t="str">
        <f t="shared" si="0"/>
        <v>3D</v>
      </c>
      <c r="F13" t="str">
        <f t="shared" si="1"/>
        <v>TR01</v>
      </c>
      <c r="G13" t="s">
        <v>150</v>
      </c>
      <c r="H13" t="s">
        <v>149</v>
      </c>
    </row>
    <row r="14" spans="1:8" x14ac:dyDescent="0.25">
      <c r="A14" t="s">
        <v>13</v>
      </c>
      <c r="B14" t="s">
        <v>28</v>
      </c>
      <c r="C14" t="s">
        <v>25</v>
      </c>
      <c r="D14" t="s">
        <v>40</v>
      </c>
      <c r="E14" t="str">
        <f t="shared" si="0"/>
        <v>3D</v>
      </c>
      <c r="F14" t="str">
        <f t="shared" si="1"/>
        <v>FS01</v>
      </c>
      <c r="G14" t="s">
        <v>150</v>
      </c>
      <c r="H14" t="s">
        <v>149</v>
      </c>
    </row>
    <row r="15" spans="1:8" x14ac:dyDescent="0.25">
      <c r="A15" t="s">
        <v>14</v>
      </c>
      <c r="B15" t="s">
        <v>28</v>
      </c>
      <c r="C15" t="s">
        <v>25</v>
      </c>
      <c r="D15" t="s">
        <v>43</v>
      </c>
      <c r="E15" t="str">
        <f t="shared" si="0"/>
        <v>3D</v>
      </c>
      <c r="F15" t="str">
        <f t="shared" si="1"/>
        <v>SV01</v>
      </c>
      <c r="G15" t="s">
        <v>150</v>
      </c>
      <c r="H15" t="s">
        <v>149</v>
      </c>
    </row>
    <row r="16" spans="1:8" x14ac:dyDescent="0.25">
      <c r="A16" t="s">
        <v>15</v>
      </c>
      <c r="B16" t="s">
        <v>27</v>
      </c>
      <c r="C16" t="s">
        <v>25</v>
      </c>
      <c r="D16" t="s">
        <v>41</v>
      </c>
      <c r="E16" t="str">
        <f t="shared" si="0"/>
        <v>3D</v>
      </c>
      <c r="F16" t="str">
        <f t="shared" si="1"/>
        <v>FS01</v>
      </c>
      <c r="G16" t="s">
        <v>150</v>
      </c>
      <c r="H16" t="s">
        <v>149</v>
      </c>
    </row>
    <row r="17" spans="1:8" x14ac:dyDescent="0.25">
      <c r="A17" t="s">
        <v>16</v>
      </c>
      <c r="B17" t="s">
        <v>27</v>
      </c>
      <c r="C17" t="s">
        <v>25</v>
      </c>
      <c r="D17" t="s">
        <v>34</v>
      </c>
      <c r="E17" t="str">
        <f t="shared" si="0"/>
        <v>3D</v>
      </c>
      <c r="F17" t="str">
        <f t="shared" si="1"/>
        <v>TR02</v>
      </c>
      <c r="G17" t="s">
        <v>150</v>
      </c>
      <c r="H17" t="s">
        <v>149</v>
      </c>
    </row>
    <row r="18" spans="1:8" x14ac:dyDescent="0.25">
      <c r="A18" t="s">
        <v>139</v>
      </c>
      <c r="B18" t="s">
        <v>136</v>
      </c>
      <c r="C18" t="s">
        <v>25</v>
      </c>
      <c r="D18" t="s">
        <v>143</v>
      </c>
      <c r="E18" t="str">
        <f t="shared" si="0"/>
        <v>3D</v>
      </c>
      <c r="F18" t="str">
        <f t="shared" si="1"/>
        <v>FS01</v>
      </c>
      <c r="G18" t="s">
        <v>150</v>
      </c>
      <c r="H18" t="s">
        <v>149</v>
      </c>
    </row>
    <row r="19" spans="1:8" x14ac:dyDescent="0.25">
      <c r="A19" t="s">
        <v>17</v>
      </c>
      <c r="B19" t="s">
        <v>29</v>
      </c>
      <c r="C19" t="s">
        <v>25</v>
      </c>
      <c r="D19" t="s">
        <v>42</v>
      </c>
      <c r="E19" t="str">
        <f t="shared" si="0"/>
        <v>3D</v>
      </c>
      <c r="F19" t="str">
        <f t="shared" si="1"/>
        <v>FS01</v>
      </c>
      <c r="G19" t="s">
        <v>150</v>
      </c>
      <c r="H19" t="s">
        <v>149</v>
      </c>
    </row>
    <row r="20" spans="1:8" x14ac:dyDescent="0.25">
      <c r="A20" t="s">
        <v>18</v>
      </c>
      <c r="B20" t="s">
        <v>29</v>
      </c>
      <c r="C20" t="s">
        <v>25</v>
      </c>
      <c r="D20" t="s">
        <v>44</v>
      </c>
      <c r="E20" t="str">
        <f t="shared" si="0"/>
        <v>3D</v>
      </c>
      <c r="F20" t="str">
        <f t="shared" si="1"/>
        <v>SV01</v>
      </c>
      <c r="G20" t="s">
        <v>150</v>
      </c>
      <c r="H20" t="s">
        <v>149</v>
      </c>
    </row>
    <row r="21" spans="1:8" x14ac:dyDescent="0.25">
      <c r="A21" t="s">
        <v>19</v>
      </c>
      <c r="B21" t="s">
        <v>29</v>
      </c>
      <c r="C21" t="s">
        <v>25</v>
      </c>
      <c r="D21" t="s">
        <v>32</v>
      </c>
      <c r="E21" t="str">
        <f t="shared" si="0"/>
        <v>3D</v>
      </c>
      <c r="F21" t="str">
        <f t="shared" si="1"/>
        <v>TR01</v>
      </c>
      <c r="G21" t="s">
        <v>150</v>
      </c>
      <c r="H21" t="s">
        <v>149</v>
      </c>
    </row>
    <row r="22" spans="1:8" x14ac:dyDescent="0.25">
      <c r="A22" t="s">
        <v>20</v>
      </c>
      <c r="B22" t="s">
        <v>29</v>
      </c>
      <c r="C22" t="s">
        <v>25</v>
      </c>
      <c r="D22" t="s">
        <v>35</v>
      </c>
      <c r="E22" t="str">
        <f t="shared" si="0"/>
        <v>3D</v>
      </c>
      <c r="F22" t="str">
        <f t="shared" si="1"/>
        <v>TR02</v>
      </c>
      <c r="G22" t="s">
        <v>150</v>
      </c>
      <c r="H22" t="s">
        <v>149</v>
      </c>
    </row>
    <row r="23" spans="1:8" x14ac:dyDescent="0.25">
      <c r="A23" t="s">
        <v>140</v>
      </c>
      <c r="B23" t="s">
        <v>30</v>
      </c>
      <c r="C23" t="s">
        <v>25</v>
      </c>
      <c r="D23" t="s">
        <v>144</v>
      </c>
      <c r="E23" t="str">
        <f t="shared" si="0"/>
        <v>3D</v>
      </c>
      <c r="F23" t="str">
        <f t="shared" si="1"/>
        <v>FS01</v>
      </c>
      <c r="G23" t="s">
        <v>150</v>
      </c>
      <c r="H23" t="s">
        <v>149</v>
      </c>
    </row>
    <row r="24" spans="1:8" x14ac:dyDescent="0.25">
      <c r="A24" t="s">
        <v>141</v>
      </c>
      <c r="B24" t="s">
        <v>30</v>
      </c>
      <c r="C24" t="s">
        <v>25</v>
      </c>
      <c r="D24" t="s">
        <v>146</v>
      </c>
      <c r="E24" t="str">
        <f t="shared" si="0"/>
        <v>3D</v>
      </c>
      <c r="F24" t="str">
        <f t="shared" si="1"/>
        <v>SV01</v>
      </c>
      <c r="G24" t="s">
        <v>150</v>
      </c>
      <c r="H24" t="s">
        <v>149</v>
      </c>
    </row>
    <row r="25" spans="1:8" x14ac:dyDescent="0.25">
      <c r="A25" t="s">
        <v>142</v>
      </c>
      <c r="B25" t="s">
        <v>30</v>
      </c>
      <c r="C25" t="s">
        <v>25</v>
      </c>
      <c r="D25" t="s">
        <v>145</v>
      </c>
      <c r="E25" t="str">
        <f t="shared" si="0"/>
        <v>3D</v>
      </c>
      <c r="F25" t="str">
        <f t="shared" si="1"/>
        <v>TR01</v>
      </c>
      <c r="G25" t="s">
        <v>150</v>
      </c>
      <c r="H25" t="s">
        <v>149</v>
      </c>
    </row>
    <row r="26" spans="1:8" x14ac:dyDescent="0.25">
      <c r="A26" t="s">
        <v>21</v>
      </c>
      <c r="B26" t="s">
        <v>28</v>
      </c>
      <c r="C26" t="s">
        <v>25</v>
      </c>
      <c r="D26" t="s">
        <v>33</v>
      </c>
      <c r="E26" t="str">
        <f t="shared" si="0"/>
        <v>3D</v>
      </c>
      <c r="F26" t="str">
        <f t="shared" si="1"/>
        <v>TR01</v>
      </c>
      <c r="G26" t="s">
        <v>150</v>
      </c>
      <c r="H26" t="s">
        <v>149</v>
      </c>
    </row>
    <row r="27" spans="1:8" x14ac:dyDescent="0.25">
      <c r="A27" t="s">
        <v>22</v>
      </c>
      <c r="B27" t="s">
        <v>28</v>
      </c>
      <c r="C27" t="s">
        <v>25</v>
      </c>
      <c r="D27" t="s">
        <v>36</v>
      </c>
      <c r="E27" t="str">
        <f t="shared" si="0"/>
        <v>3D</v>
      </c>
      <c r="F27" t="str">
        <f t="shared" si="1"/>
        <v>TR10</v>
      </c>
      <c r="G27" t="s">
        <v>150</v>
      </c>
      <c r="H27" t="s">
        <v>149</v>
      </c>
    </row>
    <row r="28" spans="1:8" x14ac:dyDescent="0.25">
      <c r="A28" t="s">
        <v>23</v>
      </c>
      <c r="B28" t="s">
        <v>27</v>
      </c>
      <c r="C28" t="s">
        <v>25</v>
      </c>
      <c r="D28" t="s">
        <v>37</v>
      </c>
      <c r="E28" t="str">
        <f t="shared" si="0"/>
        <v>3D</v>
      </c>
      <c r="F28" t="str">
        <f t="shared" si="1"/>
        <v>SV01</v>
      </c>
      <c r="G28" t="s">
        <v>150</v>
      </c>
      <c r="H28" t="s">
        <v>149</v>
      </c>
    </row>
    <row r="29" spans="1:8" x14ac:dyDescent="0.25">
      <c r="A29" t="s">
        <v>24</v>
      </c>
      <c r="B29" t="s">
        <v>27</v>
      </c>
      <c r="C29" t="s">
        <v>25</v>
      </c>
      <c r="D29" t="s">
        <v>38</v>
      </c>
      <c r="E29" t="str">
        <f t="shared" si="0"/>
        <v>3D</v>
      </c>
      <c r="F29" t="str">
        <f t="shared" si="1"/>
        <v>SV02</v>
      </c>
      <c r="G29" t="s">
        <v>150</v>
      </c>
      <c r="H29" t="s">
        <v>149</v>
      </c>
    </row>
    <row r="30" spans="1:8" x14ac:dyDescent="0.25">
      <c r="F30" t="str">
        <f t="shared" si="1"/>
        <v/>
      </c>
    </row>
    <row r="31" spans="1:8" x14ac:dyDescent="0.25">
      <c r="A31" s="1" t="s">
        <v>46</v>
      </c>
      <c r="B31" s="1"/>
      <c r="C31" s="1"/>
      <c r="D31" s="1"/>
      <c r="E31" s="1"/>
      <c r="F31" s="1"/>
    </row>
    <row r="32" spans="1:8" x14ac:dyDescent="0.25">
      <c r="A32" t="s">
        <v>47</v>
      </c>
      <c r="B32" t="s">
        <v>52</v>
      </c>
      <c r="C32" t="s">
        <v>51</v>
      </c>
      <c r="D32" t="s">
        <v>65</v>
      </c>
      <c r="E32" t="str">
        <f>IF(ISNUMBER(SEARCH("M2D",A32)),"2D","3D")</f>
        <v>3D</v>
      </c>
      <c r="F32" t="str">
        <f t="shared" ref="F32:F92" si="2">RIGHT(A32, 4)</f>
        <v>EX01</v>
      </c>
      <c r="G32" t="s">
        <v>164</v>
      </c>
      <c r="H32" t="s">
        <v>160</v>
      </c>
    </row>
    <row r="33" spans="1:8" x14ac:dyDescent="0.25">
      <c r="A33" t="s">
        <v>48</v>
      </c>
      <c r="B33" t="s">
        <v>53</v>
      </c>
      <c r="C33" t="s">
        <v>51</v>
      </c>
      <c r="D33" t="s">
        <v>66</v>
      </c>
      <c r="E33" t="str">
        <f t="shared" ref="E33:E39" si="3">IF(ISNUMBER(SEARCH("M2D",A33)),"2D","3D")</f>
        <v>3D</v>
      </c>
      <c r="F33" t="str">
        <f t="shared" si="2"/>
        <v>EX01</v>
      </c>
      <c r="G33" t="s">
        <v>164</v>
      </c>
      <c r="H33" t="s">
        <v>160</v>
      </c>
    </row>
    <row r="34" spans="1:8" x14ac:dyDescent="0.25">
      <c r="A34" t="s">
        <v>157</v>
      </c>
      <c r="B34" t="s">
        <v>57</v>
      </c>
      <c r="C34" t="s">
        <v>51</v>
      </c>
      <c r="D34" t="s">
        <v>63</v>
      </c>
      <c r="E34" t="str">
        <f t="shared" si="3"/>
        <v>3D</v>
      </c>
      <c r="F34" t="str">
        <f t="shared" si="2"/>
        <v>EX01</v>
      </c>
      <c r="G34" t="s">
        <v>164</v>
      </c>
      <c r="H34" t="s">
        <v>160</v>
      </c>
    </row>
    <row r="35" spans="1:8" x14ac:dyDescent="0.25">
      <c r="A35" t="s">
        <v>158</v>
      </c>
      <c r="B35" t="s">
        <v>58</v>
      </c>
      <c r="C35" t="s">
        <v>51</v>
      </c>
      <c r="D35" t="s">
        <v>64</v>
      </c>
      <c r="E35" t="str">
        <f t="shared" si="3"/>
        <v>3D</v>
      </c>
      <c r="F35" t="str">
        <f t="shared" si="2"/>
        <v>EX01</v>
      </c>
      <c r="G35" t="s">
        <v>164</v>
      </c>
      <c r="H35" t="s">
        <v>160</v>
      </c>
    </row>
    <row r="36" spans="1:8" x14ac:dyDescent="0.25">
      <c r="A36" t="s">
        <v>49</v>
      </c>
      <c r="B36" t="s">
        <v>52</v>
      </c>
      <c r="C36" t="s">
        <v>51</v>
      </c>
      <c r="D36" t="s">
        <v>59</v>
      </c>
      <c r="E36" t="str">
        <f t="shared" si="3"/>
        <v>3D</v>
      </c>
      <c r="F36" t="str">
        <f t="shared" si="2"/>
        <v>EX01</v>
      </c>
      <c r="G36" t="s">
        <v>164</v>
      </c>
      <c r="H36" t="s">
        <v>163</v>
      </c>
    </row>
    <row r="37" spans="1:8" x14ac:dyDescent="0.25">
      <c r="A37" t="s">
        <v>50</v>
      </c>
      <c r="B37" t="s">
        <v>53</v>
      </c>
      <c r="C37" t="s">
        <v>51</v>
      </c>
      <c r="D37" t="s">
        <v>60</v>
      </c>
      <c r="E37" t="str">
        <f t="shared" si="3"/>
        <v>3D</v>
      </c>
      <c r="F37" t="str">
        <f t="shared" si="2"/>
        <v>EX01</v>
      </c>
      <c r="G37" t="s">
        <v>164</v>
      </c>
      <c r="H37" t="s">
        <v>163</v>
      </c>
    </row>
    <row r="38" spans="1:8" x14ac:dyDescent="0.25">
      <c r="A38" t="s">
        <v>215</v>
      </c>
      <c r="B38" t="s">
        <v>57</v>
      </c>
      <c r="C38" t="s">
        <v>51</v>
      </c>
      <c r="D38" t="s">
        <v>61</v>
      </c>
      <c r="E38" t="str">
        <f t="shared" si="3"/>
        <v>3D</v>
      </c>
      <c r="F38" t="str">
        <f t="shared" si="2"/>
        <v>EX01</v>
      </c>
      <c r="G38" t="s">
        <v>164</v>
      </c>
      <c r="H38" t="s">
        <v>163</v>
      </c>
    </row>
    <row r="39" spans="1:8" x14ac:dyDescent="0.25">
      <c r="A39" t="s">
        <v>216</v>
      </c>
      <c r="B39" t="s">
        <v>58</v>
      </c>
      <c r="C39" t="s">
        <v>51</v>
      </c>
      <c r="D39" t="s">
        <v>62</v>
      </c>
      <c r="E39" t="str">
        <f t="shared" si="3"/>
        <v>3D</v>
      </c>
      <c r="F39" t="str">
        <f t="shared" si="2"/>
        <v>EX01</v>
      </c>
      <c r="G39" t="s">
        <v>164</v>
      </c>
      <c r="H39" t="s">
        <v>163</v>
      </c>
    </row>
    <row r="41" spans="1:8" x14ac:dyDescent="0.25">
      <c r="A41" s="1" t="s">
        <v>285</v>
      </c>
    </row>
    <row r="42" spans="1:8" x14ac:dyDescent="0.25">
      <c r="A42" t="s">
        <v>284</v>
      </c>
      <c r="B42" t="s">
        <v>286</v>
      </c>
      <c r="C42" t="s">
        <v>287</v>
      </c>
      <c r="D42" s="2" t="s">
        <v>288</v>
      </c>
      <c r="E42" t="str">
        <f t="shared" ref="E42" si="4">IF(ISNUMBER(SEARCH("M2D",A42)),"2D","3D")</f>
        <v>2D</v>
      </c>
      <c r="F42" t="str">
        <f t="shared" si="2"/>
        <v>UT01</v>
      </c>
      <c r="G42" t="s">
        <v>289</v>
      </c>
      <c r="H42" t="s">
        <v>290</v>
      </c>
    </row>
    <row r="43" spans="1:8" x14ac:dyDescent="0.25">
      <c r="D43" s="2"/>
    </row>
    <row r="44" spans="1:8" x14ac:dyDescent="0.25">
      <c r="A44" s="1" t="s">
        <v>54</v>
      </c>
    </row>
    <row r="45" spans="1:8" x14ac:dyDescent="0.25">
      <c r="A45" t="s">
        <v>55</v>
      </c>
      <c r="B45" t="s">
        <v>57</v>
      </c>
      <c r="C45" t="s">
        <v>51</v>
      </c>
      <c r="D45" t="s">
        <v>61</v>
      </c>
      <c r="E45" t="str">
        <f t="shared" ref="E45:E46" si="5">IF(ISNUMBER(SEARCH("M2D",A45)),"2D","3D")</f>
        <v>3D</v>
      </c>
      <c r="F45" t="str">
        <f t="shared" si="2"/>
        <v>EX01</v>
      </c>
      <c r="G45" t="s">
        <v>164</v>
      </c>
      <c r="H45" t="s">
        <v>162</v>
      </c>
    </row>
    <row r="46" spans="1:8" x14ac:dyDescent="0.25">
      <c r="A46" t="s">
        <v>56</v>
      </c>
      <c r="B46" t="s">
        <v>58</v>
      </c>
      <c r="C46" t="s">
        <v>51</v>
      </c>
      <c r="D46" t="s">
        <v>62</v>
      </c>
      <c r="E46" t="str">
        <f t="shared" si="5"/>
        <v>3D</v>
      </c>
      <c r="F46" t="str">
        <f t="shared" si="2"/>
        <v>EX01</v>
      </c>
      <c r="G46" t="s">
        <v>164</v>
      </c>
      <c r="H46" t="s">
        <v>162</v>
      </c>
    </row>
    <row r="47" spans="1:8" x14ac:dyDescent="0.25">
      <c r="F47" t="str">
        <f t="shared" si="2"/>
        <v/>
      </c>
    </row>
    <row r="48" spans="1:8" x14ac:dyDescent="0.25">
      <c r="A48" s="1" t="s">
        <v>67</v>
      </c>
    </row>
    <row r="49" spans="1:8" x14ac:dyDescent="0.25">
      <c r="A49" t="s">
        <v>68</v>
      </c>
      <c r="B49" t="s">
        <v>72</v>
      </c>
      <c r="C49" t="s">
        <v>73</v>
      </c>
      <c r="D49" t="s">
        <v>74</v>
      </c>
      <c r="E49" t="str">
        <f t="shared" ref="E49:E52" si="6">IF(ISNUMBER(SEARCH("M2D",A49)),"2D","3D")</f>
        <v>3D</v>
      </c>
      <c r="F49" t="str">
        <f t="shared" si="2"/>
        <v>AB01</v>
      </c>
      <c r="G49" t="s">
        <v>165</v>
      </c>
      <c r="H49" t="s">
        <v>161</v>
      </c>
    </row>
    <row r="50" spans="1:8" x14ac:dyDescent="0.25">
      <c r="A50" t="s">
        <v>69</v>
      </c>
      <c r="B50" t="s">
        <v>72</v>
      </c>
      <c r="C50" t="s">
        <v>51</v>
      </c>
      <c r="D50" t="s">
        <v>75</v>
      </c>
      <c r="E50" t="str">
        <f t="shared" si="6"/>
        <v>3D</v>
      </c>
      <c r="F50" t="str">
        <f t="shared" si="2"/>
        <v>EX01</v>
      </c>
      <c r="G50" t="s">
        <v>165</v>
      </c>
      <c r="H50" t="s">
        <v>161</v>
      </c>
    </row>
    <row r="51" spans="1:8" x14ac:dyDescent="0.25">
      <c r="A51" t="s">
        <v>70</v>
      </c>
      <c r="B51" t="s">
        <v>72</v>
      </c>
      <c r="C51" t="s">
        <v>73</v>
      </c>
      <c r="D51" t="s">
        <v>76</v>
      </c>
      <c r="E51" t="str">
        <f t="shared" si="6"/>
        <v>3D</v>
      </c>
      <c r="F51" t="str">
        <f t="shared" si="2"/>
        <v>AB01</v>
      </c>
      <c r="G51" t="s">
        <v>165</v>
      </c>
      <c r="H51" t="s">
        <v>159</v>
      </c>
    </row>
    <row r="52" spans="1:8" x14ac:dyDescent="0.25">
      <c r="A52" t="s">
        <v>71</v>
      </c>
      <c r="B52" t="s">
        <v>72</v>
      </c>
      <c r="C52" t="s">
        <v>51</v>
      </c>
      <c r="D52" t="s">
        <v>77</v>
      </c>
      <c r="E52" t="str">
        <f t="shared" si="6"/>
        <v>3D</v>
      </c>
      <c r="F52" t="str">
        <f t="shared" si="2"/>
        <v>EX01</v>
      </c>
      <c r="G52" t="s">
        <v>165</v>
      </c>
      <c r="H52" t="s">
        <v>159</v>
      </c>
    </row>
    <row r="53" spans="1:8" x14ac:dyDescent="0.25">
      <c r="F53" t="str">
        <f t="shared" si="2"/>
        <v/>
      </c>
    </row>
    <row r="54" spans="1:8" x14ac:dyDescent="0.25">
      <c r="A54" s="1" t="s">
        <v>80</v>
      </c>
    </row>
    <row r="55" spans="1:8" x14ac:dyDescent="0.25">
      <c r="A55" t="s">
        <v>81</v>
      </c>
      <c r="B55" t="s">
        <v>102</v>
      </c>
      <c r="C55" t="s">
        <v>106</v>
      </c>
      <c r="D55" t="s">
        <v>107</v>
      </c>
      <c r="E55" t="str">
        <f t="shared" ref="E55:E82" si="7">IF(ISNUMBER(SEARCH("M2D",A55)),"2D","3D")</f>
        <v>2D</v>
      </c>
      <c r="F55" t="str">
        <f t="shared" si="2"/>
        <v>CH50</v>
      </c>
      <c r="G55" t="s">
        <v>124</v>
      </c>
      <c r="H55" t="s">
        <v>214</v>
      </c>
    </row>
    <row r="56" spans="1:8" x14ac:dyDescent="0.25">
      <c r="A56" t="s">
        <v>87</v>
      </c>
      <c r="B56" t="s">
        <v>102</v>
      </c>
      <c r="C56" t="s">
        <v>106</v>
      </c>
      <c r="D56" t="s">
        <v>110</v>
      </c>
      <c r="E56" t="str">
        <f t="shared" si="7"/>
        <v>2D</v>
      </c>
      <c r="F56" t="str">
        <f>RIGHT(A56, 4)</f>
        <v>DE50</v>
      </c>
      <c r="G56" t="s">
        <v>124</v>
      </c>
      <c r="H56" t="s">
        <v>214</v>
      </c>
    </row>
    <row r="57" spans="1:8" x14ac:dyDescent="0.25">
      <c r="A57" t="s">
        <v>88</v>
      </c>
      <c r="B57" t="s">
        <v>102</v>
      </c>
      <c r="C57" t="s">
        <v>106</v>
      </c>
      <c r="D57" t="s">
        <v>111</v>
      </c>
      <c r="E57" t="str">
        <f t="shared" si="7"/>
        <v>2D</v>
      </c>
      <c r="F57" t="str">
        <f>RIGHT(A57, 4)</f>
        <v>DE56</v>
      </c>
      <c r="G57" t="s">
        <v>124</v>
      </c>
      <c r="H57" t="s">
        <v>214</v>
      </c>
    </row>
    <row r="58" spans="1:8" x14ac:dyDescent="0.25">
      <c r="A58" t="s">
        <v>82</v>
      </c>
      <c r="B58" t="s">
        <v>103</v>
      </c>
      <c r="C58" t="s">
        <v>106</v>
      </c>
      <c r="D58" t="s">
        <v>108</v>
      </c>
      <c r="E58" t="str">
        <f t="shared" si="7"/>
        <v>2D</v>
      </c>
      <c r="F58" t="str">
        <f t="shared" si="2"/>
        <v>CH20</v>
      </c>
      <c r="G58" t="s">
        <v>124</v>
      </c>
      <c r="H58" t="s">
        <v>214</v>
      </c>
    </row>
    <row r="59" spans="1:8" x14ac:dyDescent="0.25">
      <c r="A59" t="s">
        <v>89</v>
      </c>
      <c r="B59" t="s">
        <v>103</v>
      </c>
      <c r="C59" t="s">
        <v>106</v>
      </c>
      <c r="D59" t="s">
        <v>110</v>
      </c>
      <c r="E59" t="str">
        <f t="shared" si="7"/>
        <v>2D</v>
      </c>
      <c r="F59" t="str">
        <f>RIGHT(A59, 4)</f>
        <v>DE20</v>
      </c>
      <c r="G59" t="s">
        <v>124</v>
      </c>
      <c r="H59" t="s">
        <v>214</v>
      </c>
    </row>
    <row r="60" spans="1:8" x14ac:dyDescent="0.25">
      <c r="A60" t="s">
        <v>83</v>
      </c>
      <c r="B60" t="s">
        <v>104</v>
      </c>
      <c r="C60" t="s">
        <v>106</v>
      </c>
      <c r="D60" t="s">
        <v>108</v>
      </c>
      <c r="E60" t="str">
        <f t="shared" si="7"/>
        <v>2D</v>
      </c>
      <c r="F60" t="str">
        <f t="shared" si="2"/>
        <v>CH10</v>
      </c>
      <c r="G60" t="s">
        <v>124</v>
      </c>
      <c r="H60" t="s">
        <v>214</v>
      </c>
    </row>
    <row r="61" spans="1:8" x14ac:dyDescent="0.25">
      <c r="A61" t="s">
        <v>84</v>
      </c>
      <c r="B61" t="s">
        <v>104</v>
      </c>
      <c r="C61" t="s">
        <v>106</v>
      </c>
      <c r="D61" t="s">
        <v>109</v>
      </c>
      <c r="E61" t="str">
        <f t="shared" si="7"/>
        <v>2D</v>
      </c>
      <c r="F61" t="str">
        <f t="shared" si="2"/>
        <v>CH99</v>
      </c>
      <c r="G61" t="s">
        <v>124</v>
      </c>
      <c r="H61" t="s">
        <v>214</v>
      </c>
    </row>
    <row r="62" spans="1:8" x14ac:dyDescent="0.25">
      <c r="A62" t="s">
        <v>90</v>
      </c>
      <c r="B62" t="s">
        <v>104</v>
      </c>
      <c r="C62" t="s">
        <v>106</v>
      </c>
      <c r="D62" t="s">
        <v>110</v>
      </c>
      <c r="E62" t="str">
        <f t="shared" si="7"/>
        <v>2D</v>
      </c>
      <c r="F62" t="str">
        <f>RIGHT(A62, 4)</f>
        <v>DE10</v>
      </c>
      <c r="G62" t="s">
        <v>124</v>
      </c>
      <c r="H62" t="s">
        <v>214</v>
      </c>
    </row>
    <row r="63" spans="1:8" x14ac:dyDescent="0.25">
      <c r="A63" t="s">
        <v>85</v>
      </c>
      <c r="B63" t="s">
        <v>105</v>
      </c>
      <c r="C63" t="s">
        <v>106</v>
      </c>
      <c r="D63" t="s">
        <v>108</v>
      </c>
      <c r="E63" t="str">
        <f t="shared" si="7"/>
        <v>2D</v>
      </c>
      <c r="F63" t="str">
        <f t="shared" si="2"/>
        <v>CH30</v>
      </c>
      <c r="G63" t="s">
        <v>124</v>
      </c>
      <c r="H63" t="s">
        <v>214</v>
      </c>
    </row>
    <row r="64" spans="1:8" x14ac:dyDescent="0.25">
      <c r="A64" t="s">
        <v>91</v>
      </c>
      <c r="B64" t="s">
        <v>105</v>
      </c>
      <c r="C64" t="s">
        <v>106</v>
      </c>
      <c r="D64" t="s">
        <v>110</v>
      </c>
      <c r="E64" t="str">
        <f t="shared" si="7"/>
        <v>2D</v>
      </c>
      <c r="F64" t="str">
        <f>RIGHT(A64, 4)</f>
        <v>DE30</v>
      </c>
      <c r="G64" t="s">
        <v>124</v>
      </c>
      <c r="H64" t="s">
        <v>214</v>
      </c>
    </row>
    <row r="65" spans="1:8" x14ac:dyDescent="0.25">
      <c r="A65" t="s">
        <v>86</v>
      </c>
      <c r="B65" t="s">
        <v>102</v>
      </c>
      <c r="C65" t="s">
        <v>106</v>
      </c>
      <c r="D65" t="s">
        <v>108</v>
      </c>
      <c r="E65" t="str">
        <f t="shared" si="7"/>
        <v>2D</v>
      </c>
      <c r="F65" t="str">
        <f t="shared" si="2"/>
        <v>CH40</v>
      </c>
      <c r="G65" t="s">
        <v>124</v>
      </c>
      <c r="H65" t="s">
        <v>214</v>
      </c>
    </row>
    <row r="66" spans="1:8" x14ac:dyDescent="0.25">
      <c r="A66" t="s">
        <v>92</v>
      </c>
      <c r="B66" t="s">
        <v>102</v>
      </c>
      <c r="C66" t="s">
        <v>106</v>
      </c>
      <c r="D66" t="s">
        <v>110</v>
      </c>
      <c r="E66" t="str">
        <f t="shared" si="7"/>
        <v>2D</v>
      </c>
      <c r="F66" t="str">
        <f>RIGHT(A66, 4)</f>
        <v>DE40</v>
      </c>
      <c r="G66" t="s">
        <v>124</v>
      </c>
      <c r="H66" t="s">
        <v>214</v>
      </c>
    </row>
    <row r="68" spans="1:8" x14ac:dyDescent="0.25">
      <c r="A68" t="s">
        <v>93</v>
      </c>
      <c r="B68" t="s">
        <v>102</v>
      </c>
      <c r="C68" t="s">
        <v>106</v>
      </c>
      <c r="D68" t="s">
        <v>112</v>
      </c>
      <c r="E68" t="str">
        <f t="shared" si="7"/>
        <v>3D</v>
      </c>
      <c r="F68" t="str">
        <f t="shared" ref="F68:F82" si="8">RIGHT(A68, 4)</f>
        <v>DE50</v>
      </c>
      <c r="G68" t="s">
        <v>124</v>
      </c>
      <c r="H68" t="s">
        <v>214</v>
      </c>
    </row>
    <row r="69" spans="1:8" x14ac:dyDescent="0.25">
      <c r="A69" t="s">
        <v>98</v>
      </c>
      <c r="B69" t="s">
        <v>102</v>
      </c>
      <c r="C69" t="s">
        <v>106</v>
      </c>
      <c r="D69" t="s">
        <v>113</v>
      </c>
      <c r="E69" t="str">
        <f t="shared" si="7"/>
        <v>3D</v>
      </c>
      <c r="F69" t="str">
        <f t="shared" si="8"/>
        <v>EW50</v>
      </c>
      <c r="G69" t="s">
        <v>124</v>
      </c>
      <c r="H69" t="s">
        <v>214</v>
      </c>
    </row>
    <row r="70" spans="1:8" x14ac:dyDescent="0.25">
      <c r="A70" t="s">
        <v>206</v>
      </c>
      <c r="B70" t="s">
        <v>102</v>
      </c>
      <c r="C70" t="s">
        <v>106</v>
      </c>
      <c r="D70" t="s">
        <v>212</v>
      </c>
      <c r="E70" t="str">
        <f t="shared" si="7"/>
        <v>3D</v>
      </c>
      <c r="F70" t="str">
        <f t="shared" si="8"/>
        <v>EW55</v>
      </c>
      <c r="G70" t="s">
        <v>124</v>
      </c>
      <c r="H70" t="s">
        <v>214</v>
      </c>
    </row>
    <row r="71" spans="1:8" x14ac:dyDescent="0.25">
      <c r="A71" t="s">
        <v>99</v>
      </c>
      <c r="B71" t="s">
        <v>102</v>
      </c>
      <c r="C71" t="s">
        <v>106</v>
      </c>
      <c r="D71" t="s">
        <v>114</v>
      </c>
      <c r="E71" t="str">
        <f t="shared" si="7"/>
        <v>3D</v>
      </c>
      <c r="F71" t="str">
        <f t="shared" si="8"/>
        <v>EW56</v>
      </c>
      <c r="G71" t="s">
        <v>124</v>
      </c>
      <c r="H71" t="s">
        <v>214</v>
      </c>
    </row>
    <row r="72" spans="1:8" x14ac:dyDescent="0.25">
      <c r="A72" t="s">
        <v>100</v>
      </c>
      <c r="B72" t="s">
        <v>102</v>
      </c>
      <c r="C72" t="s">
        <v>106</v>
      </c>
      <c r="D72" t="s">
        <v>115</v>
      </c>
      <c r="E72" t="str">
        <f t="shared" si="7"/>
        <v>3D</v>
      </c>
      <c r="F72" t="str">
        <f t="shared" si="8"/>
        <v>TR50</v>
      </c>
      <c r="G72" t="s">
        <v>124</v>
      </c>
      <c r="H72" t="s">
        <v>214</v>
      </c>
    </row>
    <row r="73" spans="1:8" x14ac:dyDescent="0.25">
      <c r="A73" t="s">
        <v>207</v>
      </c>
      <c r="B73" t="s">
        <v>102</v>
      </c>
      <c r="C73" t="s">
        <v>106</v>
      </c>
      <c r="D73" t="s">
        <v>213</v>
      </c>
      <c r="E73" t="str">
        <f t="shared" si="7"/>
        <v>3D</v>
      </c>
      <c r="F73" t="str">
        <f t="shared" si="8"/>
        <v>TR55</v>
      </c>
      <c r="G73" t="s">
        <v>205</v>
      </c>
      <c r="H73" t="s">
        <v>214</v>
      </c>
    </row>
    <row r="74" spans="1:8" x14ac:dyDescent="0.25">
      <c r="A74" t="s">
        <v>101</v>
      </c>
      <c r="B74" t="s">
        <v>102</v>
      </c>
      <c r="C74" t="s">
        <v>106</v>
      </c>
      <c r="D74" t="s">
        <v>116</v>
      </c>
      <c r="E74" t="str">
        <f t="shared" si="7"/>
        <v>3D</v>
      </c>
      <c r="F74" t="str">
        <f t="shared" si="8"/>
        <v>TR56</v>
      </c>
      <c r="G74" t="s">
        <v>124</v>
      </c>
      <c r="H74" t="s">
        <v>214</v>
      </c>
    </row>
    <row r="75" spans="1:8" x14ac:dyDescent="0.25">
      <c r="A75" t="s">
        <v>94</v>
      </c>
      <c r="B75" t="s">
        <v>103</v>
      </c>
      <c r="C75" t="s">
        <v>106</v>
      </c>
      <c r="D75" t="s">
        <v>112</v>
      </c>
      <c r="E75" t="str">
        <f t="shared" si="7"/>
        <v>3D</v>
      </c>
      <c r="F75" t="str">
        <f t="shared" si="8"/>
        <v>DE20</v>
      </c>
      <c r="G75" t="s">
        <v>124</v>
      </c>
      <c r="H75" t="s">
        <v>214</v>
      </c>
    </row>
    <row r="76" spans="1:8" x14ac:dyDescent="0.25">
      <c r="A76" t="s">
        <v>209</v>
      </c>
      <c r="B76" t="s">
        <v>103</v>
      </c>
      <c r="C76" t="s">
        <v>106</v>
      </c>
      <c r="D76" t="s">
        <v>113</v>
      </c>
      <c r="E76" t="str">
        <f t="shared" si="7"/>
        <v>3D</v>
      </c>
      <c r="F76" t="str">
        <f t="shared" si="8"/>
        <v>EW20</v>
      </c>
      <c r="G76" t="s">
        <v>205</v>
      </c>
      <c r="H76" t="s">
        <v>214</v>
      </c>
    </row>
    <row r="77" spans="1:8" x14ac:dyDescent="0.25">
      <c r="A77" t="s">
        <v>208</v>
      </c>
      <c r="B77" t="s">
        <v>103</v>
      </c>
      <c r="C77" t="s">
        <v>106</v>
      </c>
      <c r="D77" t="s">
        <v>115</v>
      </c>
      <c r="E77" t="str">
        <f t="shared" si="7"/>
        <v>3D</v>
      </c>
      <c r="F77" t="str">
        <f t="shared" si="8"/>
        <v>TR20</v>
      </c>
      <c r="G77" t="s">
        <v>205</v>
      </c>
      <c r="H77" t="s">
        <v>214</v>
      </c>
    </row>
    <row r="78" spans="1:8" x14ac:dyDescent="0.25">
      <c r="A78" t="s">
        <v>95</v>
      </c>
      <c r="B78" t="s">
        <v>104</v>
      </c>
      <c r="C78" t="s">
        <v>106</v>
      </c>
      <c r="D78" t="s">
        <v>112</v>
      </c>
      <c r="E78" t="str">
        <f t="shared" si="7"/>
        <v>3D</v>
      </c>
      <c r="F78" t="str">
        <f t="shared" si="8"/>
        <v>DE10</v>
      </c>
      <c r="G78" t="s">
        <v>124</v>
      </c>
      <c r="H78" t="s">
        <v>214</v>
      </c>
    </row>
    <row r="79" spans="1:8" x14ac:dyDescent="0.25">
      <c r="A79" t="s">
        <v>96</v>
      </c>
      <c r="B79" t="s">
        <v>105</v>
      </c>
      <c r="C79" t="s">
        <v>106</v>
      </c>
      <c r="D79" t="s">
        <v>112</v>
      </c>
      <c r="E79" t="str">
        <f t="shared" si="7"/>
        <v>3D</v>
      </c>
      <c r="F79" t="str">
        <f t="shared" si="8"/>
        <v>DE30</v>
      </c>
      <c r="G79" t="s">
        <v>124</v>
      </c>
      <c r="H79" t="s">
        <v>214</v>
      </c>
    </row>
    <row r="80" spans="1:8" x14ac:dyDescent="0.25">
      <c r="A80" t="s">
        <v>97</v>
      </c>
      <c r="B80" t="s">
        <v>102</v>
      </c>
      <c r="C80" t="s">
        <v>106</v>
      </c>
      <c r="D80" t="s">
        <v>112</v>
      </c>
      <c r="E80" t="str">
        <f t="shared" si="7"/>
        <v>3D</v>
      </c>
      <c r="F80" t="str">
        <f t="shared" si="8"/>
        <v>DE40</v>
      </c>
      <c r="G80" t="s">
        <v>124</v>
      </c>
      <c r="H80" t="s">
        <v>214</v>
      </c>
    </row>
    <row r="81" spans="1:8" x14ac:dyDescent="0.25">
      <c r="A81" t="s">
        <v>211</v>
      </c>
      <c r="B81" t="s">
        <v>102</v>
      </c>
      <c r="C81" t="s">
        <v>106</v>
      </c>
      <c r="D81" t="s">
        <v>113</v>
      </c>
      <c r="E81" t="str">
        <f t="shared" si="7"/>
        <v>3D</v>
      </c>
      <c r="F81" t="str">
        <f t="shared" si="8"/>
        <v>EW40</v>
      </c>
      <c r="G81" t="s">
        <v>124</v>
      </c>
      <c r="H81" t="s">
        <v>214</v>
      </c>
    </row>
    <row r="82" spans="1:8" x14ac:dyDescent="0.25">
      <c r="A82" t="s">
        <v>210</v>
      </c>
      <c r="B82" t="s">
        <v>102</v>
      </c>
      <c r="C82" t="s">
        <v>106</v>
      </c>
      <c r="D82" t="s">
        <v>115</v>
      </c>
      <c r="E82" t="str">
        <f t="shared" si="7"/>
        <v>3D</v>
      </c>
      <c r="F82" t="str">
        <f t="shared" si="8"/>
        <v>TR40</v>
      </c>
      <c r="G82" t="s">
        <v>124</v>
      </c>
      <c r="H82" t="s">
        <v>214</v>
      </c>
    </row>
    <row r="83" spans="1:8" x14ac:dyDescent="0.25">
      <c r="D83" s="2"/>
      <c r="F83" t="str">
        <f t="shared" si="2"/>
        <v/>
      </c>
    </row>
    <row r="84" spans="1:8" x14ac:dyDescent="0.25">
      <c r="A84" s="1" t="s">
        <v>117</v>
      </c>
      <c r="D84" s="2"/>
    </row>
    <row r="85" spans="1:8" x14ac:dyDescent="0.25">
      <c r="A85" t="s">
        <v>127</v>
      </c>
      <c r="B85" t="s">
        <v>123</v>
      </c>
      <c r="C85" t="s">
        <v>122</v>
      </c>
      <c r="D85" t="s">
        <v>118</v>
      </c>
      <c r="E85" t="str">
        <f t="shared" ref="E85:E92" si="9">IF(ISNUMBER(SEARCH("M2D",A85)),"2D","3D")</f>
        <v>2D</v>
      </c>
      <c r="F85" t="str">
        <f t="shared" si="2"/>
        <v>DE30</v>
      </c>
      <c r="G85" t="s">
        <v>125</v>
      </c>
      <c r="H85" t="s">
        <v>130</v>
      </c>
    </row>
    <row r="86" spans="1:8" x14ac:dyDescent="0.25">
      <c r="A86" t="s">
        <v>128</v>
      </c>
      <c r="B86" t="s">
        <v>123</v>
      </c>
      <c r="C86" t="s">
        <v>122</v>
      </c>
      <c r="D86" t="s">
        <v>129</v>
      </c>
      <c r="E86" t="str">
        <f t="shared" si="9"/>
        <v>2D</v>
      </c>
      <c r="F86" t="str">
        <f t="shared" ref="F86" si="10">RIGHT(A86, 4)</f>
        <v>DE31</v>
      </c>
      <c r="G86" t="s">
        <v>125</v>
      </c>
      <c r="H86" t="s">
        <v>130</v>
      </c>
    </row>
    <row r="87" spans="1:8" x14ac:dyDescent="0.25">
      <c r="A87" t="s">
        <v>466</v>
      </c>
      <c r="B87" t="s">
        <v>123</v>
      </c>
      <c r="C87" t="s">
        <v>122</v>
      </c>
      <c r="D87" t="s">
        <v>119</v>
      </c>
      <c r="E87" t="str">
        <f t="shared" si="9"/>
        <v>3D</v>
      </c>
      <c r="F87" t="str">
        <f t="shared" si="2"/>
        <v>CD30</v>
      </c>
      <c r="G87" t="s">
        <v>125</v>
      </c>
      <c r="H87" t="s">
        <v>130</v>
      </c>
    </row>
    <row r="88" spans="1:8" x14ac:dyDescent="0.25">
      <c r="A88" t="s">
        <v>467</v>
      </c>
      <c r="B88" t="s">
        <v>123</v>
      </c>
      <c r="C88" t="s">
        <v>122</v>
      </c>
      <c r="D88" t="s">
        <v>120</v>
      </c>
      <c r="E88" t="str">
        <f t="shared" si="9"/>
        <v>3D</v>
      </c>
      <c r="F88" t="str">
        <f t="shared" si="2"/>
        <v>EW30</v>
      </c>
      <c r="G88" t="s">
        <v>125</v>
      </c>
      <c r="H88" t="s">
        <v>130</v>
      </c>
    </row>
    <row r="89" spans="1:8" x14ac:dyDescent="0.25">
      <c r="A89" t="s">
        <v>468</v>
      </c>
      <c r="B89" t="s">
        <v>123</v>
      </c>
      <c r="C89" t="s">
        <v>122</v>
      </c>
      <c r="D89" t="s">
        <v>121</v>
      </c>
      <c r="E89" t="str">
        <f t="shared" si="9"/>
        <v>3D</v>
      </c>
      <c r="F89" t="str">
        <f t="shared" si="2"/>
        <v>TR30</v>
      </c>
      <c r="G89" t="s">
        <v>125</v>
      </c>
      <c r="H89" t="s">
        <v>130</v>
      </c>
    </row>
    <row r="90" spans="1:8" x14ac:dyDescent="0.25">
      <c r="A90" t="s">
        <v>183</v>
      </c>
      <c r="B90" t="s">
        <v>123</v>
      </c>
      <c r="C90" t="s">
        <v>184</v>
      </c>
      <c r="D90" t="s">
        <v>185</v>
      </c>
      <c r="E90" t="str">
        <f t="shared" si="9"/>
        <v>2D</v>
      </c>
      <c r="F90" t="str">
        <f t="shared" si="2"/>
        <v>DE60</v>
      </c>
      <c r="G90" t="s">
        <v>125</v>
      </c>
      <c r="H90" t="s">
        <v>130</v>
      </c>
    </row>
    <row r="91" spans="1:8" x14ac:dyDescent="0.25">
      <c r="A91" t="s">
        <v>469</v>
      </c>
      <c r="B91" t="s">
        <v>123</v>
      </c>
      <c r="C91">
        <v>1230</v>
      </c>
      <c r="D91" t="s">
        <v>472</v>
      </c>
      <c r="E91" t="str">
        <f t="shared" si="9"/>
        <v>3D</v>
      </c>
      <c r="F91" t="str">
        <f t="shared" si="2"/>
        <v>EW40</v>
      </c>
      <c r="G91" t="s">
        <v>125</v>
      </c>
      <c r="H91" t="s">
        <v>473</v>
      </c>
    </row>
    <row r="92" spans="1:8" x14ac:dyDescent="0.25">
      <c r="A92" t="s">
        <v>470</v>
      </c>
      <c r="B92" t="s">
        <v>123</v>
      </c>
      <c r="C92">
        <v>1220</v>
      </c>
      <c r="D92" t="s">
        <v>471</v>
      </c>
      <c r="E92" t="str">
        <f t="shared" si="9"/>
        <v>3D</v>
      </c>
      <c r="F92" t="str">
        <f t="shared" si="2"/>
        <v>DE20</v>
      </c>
      <c r="G92" t="s">
        <v>125</v>
      </c>
      <c r="H92" t="s">
        <v>473</v>
      </c>
    </row>
    <row r="94" spans="1:8" x14ac:dyDescent="0.25">
      <c r="A94" s="1" t="s">
        <v>186</v>
      </c>
    </row>
    <row r="95" spans="1:8" x14ac:dyDescent="0.25">
      <c r="A95" t="s">
        <v>195</v>
      </c>
      <c r="B95" t="s">
        <v>187</v>
      </c>
      <c r="C95" t="s">
        <v>189</v>
      </c>
      <c r="D95" t="s">
        <v>192</v>
      </c>
      <c r="E95" t="str">
        <f t="shared" ref="E95:E112" si="11">IF(ISNUMBER(SEARCH("M2D",A95)),"2D","3D")</f>
        <v>3D</v>
      </c>
      <c r="F95" t="str">
        <f t="shared" ref="F95:F112" si="12">RIGHT(A95, 4)</f>
        <v>3D01</v>
      </c>
      <c r="G95" t="s">
        <v>203</v>
      </c>
      <c r="H95" t="s">
        <v>204</v>
      </c>
    </row>
    <row r="96" spans="1:8" x14ac:dyDescent="0.25">
      <c r="A96" t="s">
        <v>259</v>
      </c>
      <c r="B96" t="s">
        <v>187</v>
      </c>
      <c r="C96" t="s">
        <v>261</v>
      </c>
      <c r="D96" t="s">
        <v>260</v>
      </c>
      <c r="E96" t="str">
        <f t="shared" si="11"/>
        <v>3D</v>
      </c>
      <c r="F96" t="str">
        <f t="shared" si="12"/>
        <v>3D01</v>
      </c>
      <c r="G96" t="s">
        <v>203</v>
      </c>
      <c r="H96" t="s">
        <v>204</v>
      </c>
    </row>
    <row r="97" spans="1:8" x14ac:dyDescent="0.25">
      <c r="A97" t="s">
        <v>258</v>
      </c>
      <c r="B97" t="s">
        <v>187</v>
      </c>
      <c r="C97" t="s">
        <v>190</v>
      </c>
      <c r="D97" t="s">
        <v>194</v>
      </c>
      <c r="E97" t="str">
        <f t="shared" si="11"/>
        <v>3D</v>
      </c>
      <c r="F97" t="str">
        <f t="shared" si="12"/>
        <v>3D01</v>
      </c>
      <c r="G97" t="s">
        <v>203</v>
      </c>
      <c r="H97" t="s">
        <v>204</v>
      </c>
    </row>
    <row r="98" spans="1:8" x14ac:dyDescent="0.25">
      <c r="A98" t="s">
        <v>196</v>
      </c>
      <c r="B98" t="s">
        <v>188</v>
      </c>
      <c r="C98" t="s">
        <v>189</v>
      </c>
      <c r="D98" t="s">
        <v>192</v>
      </c>
      <c r="E98" t="str">
        <f t="shared" si="11"/>
        <v>3D</v>
      </c>
      <c r="F98" t="str">
        <f t="shared" si="12"/>
        <v>3D01</v>
      </c>
      <c r="G98" t="s">
        <v>203</v>
      </c>
      <c r="H98" t="s">
        <v>204</v>
      </c>
    </row>
    <row r="99" spans="1:8" x14ac:dyDescent="0.25">
      <c r="A99" t="s">
        <v>197</v>
      </c>
      <c r="B99" t="s">
        <v>188</v>
      </c>
      <c r="C99" t="s">
        <v>190</v>
      </c>
      <c r="D99" t="s">
        <v>194</v>
      </c>
      <c r="E99" t="str">
        <f t="shared" si="11"/>
        <v>3D</v>
      </c>
      <c r="F99" t="str">
        <f t="shared" si="12"/>
        <v>3D01</v>
      </c>
      <c r="G99" t="s">
        <v>203</v>
      </c>
      <c r="H99" t="s">
        <v>204</v>
      </c>
    </row>
    <row r="100" spans="1:8" x14ac:dyDescent="0.25">
      <c r="A100" t="s">
        <v>198</v>
      </c>
      <c r="B100" t="s">
        <v>187</v>
      </c>
      <c r="C100" t="s">
        <v>189</v>
      </c>
      <c r="D100" t="s">
        <v>192</v>
      </c>
      <c r="E100" t="str">
        <f t="shared" si="11"/>
        <v>3D</v>
      </c>
      <c r="F100" t="str">
        <f t="shared" si="12"/>
        <v>3D01</v>
      </c>
      <c r="G100" t="s">
        <v>203</v>
      </c>
      <c r="H100" t="s">
        <v>204</v>
      </c>
    </row>
    <row r="101" spans="1:8" x14ac:dyDescent="0.25">
      <c r="A101" t="s">
        <v>199</v>
      </c>
      <c r="B101" t="s">
        <v>187</v>
      </c>
      <c r="C101" t="s">
        <v>190</v>
      </c>
      <c r="D101" t="s">
        <v>194</v>
      </c>
      <c r="E101" t="str">
        <f t="shared" si="11"/>
        <v>3D</v>
      </c>
      <c r="F101" t="str">
        <f t="shared" si="12"/>
        <v>3D01</v>
      </c>
      <c r="G101" t="s">
        <v>203</v>
      </c>
      <c r="H101" t="s">
        <v>204</v>
      </c>
    </row>
    <row r="102" spans="1:8" x14ac:dyDescent="0.25">
      <c r="A102" t="s">
        <v>200</v>
      </c>
      <c r="B102" t="s">
        <v>187</v>
      </c>
      <c r="C102" t="s">
        <v>191</v>
      </c>
      <c r="D102" t="s">
        <v>193</v>
      </c>
      <c r="E102" t="str">
        <f t="shared" si="11"/>
        <v>2D</v>
      </c>
      <c r="F102" t="str">
        <f t="shared" si="12"/>
        <v>DE55</v>
      </c>
      <c r="G102" t="s">
        <v>203</v>
      </c>
      <c r="H102" t="s">
        <v>204</v>
      </c>
    </row>
    <row r="103" spans="1:8" x14ac:dyDescent="0.25">
      <c r="A103" t="s">
        <v>202</v>
      </c>
      <c r="B103" t="s">
        <v>187</v>
      </c>
      <c r="C103" t="s">
        <v>191</v>
      </c>
      <c r="D103" t="s">
        <v>193</v>
      </c>
      <c r="E103" t="str">
        <f t="shared" si="11"/>
        <v>3D</v>
      </c>
      <c r="F103" t="str">
        <f t="shared" si="12"/>
        <v>DE50</v>
      </c>
      <c r="G103" t="s">
        <v>203</v>
      </c>
      <c r="H103" t="s">
        <v>204</v>
      </c>
    </row>
    <row r="104" spans="1:8" x14ac:dyDescent="0.25">
      <c r="A104" t="s">
        <v>201</v>
      </c>
      <c r="B104" t="s">
        <v>187</v>
      </c>
      <c r="C104" t="s">
        <v>191</v>
      </c>
      <c r="D104" t="s">
        <v>193</v>
      </c>
      <c r="E104" t="str">
        <f t="shared" si="11"/>
        <v>3D</v>
      </c>
      <c r="F104" t="str">
        <f t="shared" si="12"/>
        <v>3D01</v>
      </c>
      <c r="G104" t="s">
        <v>203</v>
      </c>
      <c r="H104" t="s">
        <v>204</v>
      </c>
    </row>
    <row r="105" spans="1:8" x14ac:dyDescent="0.25">
      <c r="A105" t="s">
        <v>256</v>
      </c>
      <c r="B105" t="s">
        <v>188</v>
      </c>
      <c r="C105" t="s">
        <v>191</v>
      </c>
      <c r="D105" t="s">
        <v>193</v>
      </c>
      <c r="E105" t="str">
        <f t="shared" si="11"/>
        <v>3D</v>
      </c>
      <c r="F105" t="str">
        <f t="shared" si="12"/>
        <v>3D01</v>
      </c>
      <c r="G105" t="s">
        <v>203</v>
      </c>
      <c r="H105" t="s">
        <v>204</v>
      </c>
    </row>
    <row r="106" spans="1:8" x14ac:dyDescent="0.25">
      <c r="A106" t="s">
        <v>257</v>
      </c>
      <c r="B106" t="s">
        <v>187</v>
      </c>
      <c r="C106" t="s">
        <v>191</v>
      </c>
      <c r="D106" t="s">
        <v>193</v>
      </c>
      <c r="E106" t="str">
        <f t="shared" si="11"/>
        <v>3D</v>
      </c>
      <c r="F106" t="str">
        <f t="shared" si="12"/>
        <v>3D01</v>
      </c>
      <c r="G106" t="s">
        <v>203</v>
      </c>
      <c r="H106" t="s">
        <v>204</v>
      </c>
    </row>
    <row r="107" spans="1:8" x14ac:dyDescent="0.25">
      <c r="A107" t="s">
        <v>279</v>
      </c>
      <c r="B107" t="s">
        <v>277</v>
      </c>
      <c r="C107" t="s">
        <v>191</v>
      </c>
      <c r="D107" t="s">
        <v>193</v>
      </c>
      <c r="E107" t="str">
        <f t="shared" si="11"/>
        <v>3D</v>
      </c>
      <c r="F107" t="str">
        <f t="shared" si="12"/>
        <v>3D01</v>
      </c>
      <c r="G107" t="s">
        <v>203</v>
      </c>
      <c r="H107" t="s">
        <v>204</v>
      </c>
    </row>
    <row r="108" spans="1:8" x14ac:dyDescent="0.25">
      <c r="A108" t="s">
        <v>280</v>
      </c>
      <c r="B108" t="s">
        <v>277</v>
      </c>
      <c r="C108" t="s">
        <v>189</v>
      </c>
      <c r="D108" t="s">
        <v>192</v>
      </c>
      <c r="E108" t="str">
        <f t="shared" si="11"/>
        <v>3D</v>
      </c>
      <c r="F108" t="str">
        <f t="shared" si="12"/>
        <v>3D01</v>
      </c>
      <c r="G108" t="s">
        <v>203</v>
      </c>
      <c r="H108" t="s">
        <v>204</v>
      </c>
    </row>
    <row r="109" spans="1:8" x14ac:dyDescent="0.25">
      <c r="A109" t="s">
        <v>281</v>
      </c>
      <c r="B109" t="s">
        <v>278</v>
      </c>
      <c r="C109" t="s">
        <v>191</v>
      </c>
      <c r="D109" t="s">
        <v>193</v>
      </c>
      <c r="E109" t="str">
        <f t="shared" si="11"/>
        <v>3D</v>
      </c>
      <c r="F109" t="str">
        <f t="shared" si="12"/>
        <v>3D01</v>
      </c>
      <c r="G109" t="s">
        <v>203</v>
      </c>
      <c r="H109" t="s">
        <v>204</v>
      </c>
    </row>
    <row r="110" spans="1:8" x14ac:dyDescent="0.25">
      <c r="A110" t="s">
        <v>282</v>
      </c>
      <c r="B110" t="s">
        <v>278</v>
      </c>
      <c r="C110" t="s">
        <v>189</v>
      </c>
      <c r="D110" t="s">
        <v>192</v>
      </c>
      <c r="E110" t="str">
        <f t="shared" si="11"/>
        <v>3D</v>
      </c>
      <c r="F110" t="str">
        <f t="shared" si="12"/>
        <v>3D01</v>
      </c>
      <c r="G110" t="s">
        <v>203</v>
      </c>
      <c r="H110" t="s">
        <v>204</v>
      </c>
    </row>
    <row r="111" spans="1:8" x14ac:dyDescent="0.25">
      <c r="A111" t="s">
        <v>283</v>
      </c>
      <c r="B111" t="s">
        <v>278</v>
      </c>
      <c r="C111" t="s">
        <v>190</v>
      </c>
      <c r="D111" t="s">
        <v>194</v>
      </c>
      <c r="E111" t="str">
        <f t="shared" si="11"/>
        <v>3D</v>
      </c>
      <c r="F111" t="str">
        <f t="shared" si="12"/>
        <v>3D01</v>
      </c>
      <c r="G111" t="s">
        <v>203</v>
      </c>
      <c r="H111" t="s">
        <v>204</v>
      </c>
    </row>
    <row r="112" spans="1:8" x14ac:dyDescent="0.25">
      <c r="A112" t="s">
        <v>256</v>
      </c>
      <c r="B112" t="s">
        <v>278</v>
      </c>
      <c r="C112" t="s">
        <v>191</v>
      </c>
      <c r="D112" t="s">
        <v>193</v>
      </c>
      <c r="E112" t="str">
        <f t="shared" si="11"/>
        <v>3D</v>
      </c>
      <c r="F112" t="str">
        <f t="shared" si="12"/>
        <v>3D01</v>
      </c>
      <c r="G112" t="s">
        <v>203</v>
      </c>
      <c r="H112" t="s">
        <v>204</v>
      </c>
    </row>
    <row r="114" spans="1:8" x14ac:dyDescent="0.25">
      <c r="A114" s="1" t="s">
        <v>168</v>
      </c>
    </row>
    <row r="115" spans="1:8" x14ac:dyDescent="0.25">
      <c r="A115" t="s">
        <v>166</v>
      </c>
      <c r="B115" t="s">
        <v>167</v>
      </c>
      <c r="C115" t="s">
        <v>169</v>
      </c>
      <c r="D115" t="s">
        <v>172</v>
      </c>
      <c r="E115" t="s">
        <v>2</v>
      </c>
      <c r="F115" t="str">
        <f t="shared" ref="F115" si="13">RIGHT(A115, 4)</f>
        <v>DE01</v>
      </c>
      <c r="G115" t="s">
        <v>170</v>
      </c>
      <c r="H115" t="s">
        <v>171</v>
      </c>
    </row>
    <row r="116" spans="1:8" x14ac:dyDescent="0.25">
      <c r="D116" s="2"/>
    </row>
    <row r="117" spans="1:8" x14ac:dyDescent="0.25">
      <c r="A117" s="1" t="s">
        <v>224</v>
      </c>
      <c r="D117" s="2"/>
    </row>
    <row r="118" spans="1:8" x14ac:dyDescent="0.25">
      <c r="A118" t="s">
        <v>225</v>
      </c>
      <c r="B118" s="2" t="s">
        <v>173</v>
      </c>
      <c r="C118" t="s">
        <v>242</v>
      </c>
      <c r="D118" s="2" t="s">
        <v>233</v>
      </c>
      <c r="E118" t="s">
        <v>2</v>
      </c>
      <c r="F118" t="str">
        <f t="shared" ref="F118:F125" si="14">RIGHT(A118, 4)</f>
        <v>DE61</v>
      </c>
      <c r="G118" t="s">
        <v>238</v>
      </c>
      <c r="H118" t="s">
        <v>239</v>
      </c>
    </row>
    <row r="119" spans="1:8" x14ac:dyDescent="0.25">
      <c r="A119" t="s">
        <v>226</v>
      </c>
      <c r="B119" s="2" t="s">
        <v>173</v>
      </c>
      <c r="C119" t="s">
        <v>240</v>
      </c>
      <c r="D119" s="2" t="s">
        <v>234</v>
      </c>
      <c r="E119" t="s">
        <v>2</v>
      </c>
      <c r="F119" t="str">
        <f t="shared" si="14"/>
        <v>CH25</v>
      </c>
      <c r="G119" t="s">
        <v>238</v>
      </c>
      <c r="H119" t="s">
        <v>239</v>
      </c>
    </row>
    <row r="120" spans="1:8" x14ac:dyDescent="0.25">
      <c r="A120" t="s">
        <v>227</v>
      </c>
      <c r="B120" s="2" t="s">
        <v>173</v>
      </c>
      <c r="C120" t="s">
        <v>240</v>
      </c>
      <c r="D120" s="2" t="s">
        <v>235</v>
      </c>
      <c r="E120" t="s">
        <v>2</v>
      </c>
      <c r="F120" t="str">
        <f t="shared" si="14"/>
        <v>DE25</v>
      </c>
      <c r="G120" t="s">
        <v>238</v>
      </c>
      <c r="H120" t="s">
        <v>239</v>
      </c>
    </row>
    <row r="121" spans="1:8" x14ac:dyDescent="0.25">
      <c r="A121" t="s">
        <v>228</v>
      </c>
      <c r="B121" s="2" t="s">
        <v>173</v>
      </c>
      <c r="C121" t="s">
        <v>240</v>
      </c>
      <c r="D121" s="2" t="s">
        <v>236</v>
      </c>
      <c r="E121" t="s">
        <v>2</v>
      </c>
      <c r="F121" t="str">
        <f t="shared" si="14"/>
        <v>DE26</v>
      </c>
      <c r="G121" t="s">
        <v>238</v>
      </c>
      <c r="H121" t="s">
        <v>239</v>
      </c>
    </row>
    <row r="122" spans="1:8" x14ac:dyDescent="0.25">
      <c r="A122" t="s">
        <v>229</v>
      </c>
      <c r="B122" s="2" t="s">
        <v>173</v>
      </c>
      <c r="C122" t="s">
        <v>243</v>
      </c>
      <c r="D122" s="2" t="s">
        <v>237</v>
      </c>
      <c r="E122" t="s">
        <v>2</v>
      </c>
      <c r="F122" t="str">
        <f t="shared" si="14"/>
        <v>DE60</v>
      </c>
      <c r="G122" t="s">
        <v>238</v>
      </c>
      <c r="H122" t="s">
        <v>239</v>
      </c>
    </row>
    <row r="123" spans="1:8" x14ac:dyDescent="0.25">
      <c r="A123" t="s">
        <v>230</v>
      </c>
      <c r="B123" s="2" t="s">
        <v>173</v>
      </c>
      <c r="C123" t="s">
        <v>241</v>
      </c>
      <c r="D123" s="2" t="s">
        <v>113</v>
      </c>
      <c r="E123" t="s">
        <v>26</v>
      </c>
      <c r="F123" t="str">
        <f t="shared" si="14"/>
        <v>EW25</v>
      </c>
      <c r="G123" t="s">
        <v>238</v>
      </c>
      <c r="H123" t="s">
        <v>239</v>
      </c>
    </row>
    <row r="124" spans="1:8" x14ac:dyDescent="0.25">
      <c r="A124" t="s">
        <v>231</v>
      </c>
      <c r="B124" s="2" t="s">
        <v>173</v>
      </c>
      <c r="C124" t="s">
        <v>241</v>
      </c>
      <c r="D124" s="2" t="s">
        <v>113</v>
      </c>
      <c r="E124" t="s">
        <v>26</v>
      </c>
      <c r="F124" t="str">
        <f t="shared" si="14"/>
        <v>EW26</v>
      </c>
      <c r="G124" t="s">
        <v>238</v>
      </c>
      <c r="H124" t="s">
        <v>239</v>
      </c>
    </row>
    <row r="125" spans="1:8" x14ac:dyDescent="0.25">
      <c r="A125" t="s">
        <v>232</v>
      </c>
      <c r="B125" s="2" t="s">
        <v>173</v>
      </c>
      <c r="C125" t="s">
        <v>241</v>
      </c>
      <c r="D125" s="2" t="s">
        <v>115</v>
      </c>
      <c r="E125" t="s">
        <v>26</v>
      </c>
      <c r="F125" t="str">
        <f t="shared" si="14"/>
        <v>TR25</v>
      </c>
      <c r="G125" t="s">
        <v>238</v>
      </c>
      <c r="H125" t="s">
        <v>462</v>
      </c>
    </row>
    <row r="126" spans="1:8" x14ac:dyDescent="0.25">
      <c r="A126" t="s">
        <v>460</v>
      </c>
      <c r="B126" s="2" t="s">
        <v>173</v>
      </c>
      <c r="C126">
        <v>291</v>
      </c>
      <c r="D126" t="s">
        <v>461</v>
      </c>
      <c r="E126" t="s">
        <v>26</v>
      </c>
      <c r="F126" t="str">
        <f t="shared" ref="F126:F127" si="15">RIGHT(A126, 4)</f>
        <v>DE91</v>
      </c>
      <c r="G126" t="s">
        <v>238</v>
      </c>
      <c r="H126" t="s">
        <v>239</v>
      </c>
    </row>
    <row r="127" spans="1:8" x14ac:dyDescent="0.25">
      <c r="A127" t="s">
        <v>463</v>
      </c>
      <c r="B127" s="2" t="s">
        <v>173</v>
      </c>
      <c r="C127">
        <v>220</v>
      </c>
      <c r="D127" s="3" t="s">
        <v>464</v>
      </c>
      <c r="E127" t="s">
        <v>26</v>
      </c>
      <c r="F127" t="str">
        <f t="shared" si="15"/>
        <v>CR20</v>
      </c>
      <c r="G127" t="s">
        <v>238</v>
      </c>
      <c r="H127" t="s">
        <v>239</v>
      </c>
    </row>
    <row r="128" spans="1:8" x14ac:dyDescent="0.25">
      <c r="D128" s="3"/>
      <c r="E128" s="2"/>
    </row>
    <row r="129" spans="1:8" x14ac:dyDescent="0.25">
      <c r="A129" s="1" t="s">
        <v>223</v>
      </c>
      <c r="D129" s="3"/>
    </row>
    <row r="130" spans="1:8" x14ac:dyDescent="0.25">
      <c r="A130" t="s">
        <v>303</v>
      </c>
      <c r="B130" t="s">
        <v>126</v>
      </c>
      <c r="C130" t="s">
        <v>106</v>
      </c>
      <c r="D130" s="3" t="s">
        <v>304</v>
      </c>
      <c r="E130" t="s">
        <v>2</v>
      </c>
      <c r="F130" t="str">
        <f t="shared" ref="F130" si="16">RIGHT(A130, 4)</f>
        <v>DE20</v>
      </c>
      <c r="G130" t="s">
        <v>217</v>
      </c>
      <c r="H130" t="s">
        <v>218</v>
      </c>
    </row>
    <row r="131" spans="1:8" x14ac:dyDescent="0.25">
      <c r="A131" t="s">
        <v>297</v>
      </c>
      <c r="B131" t="s">
        <v>126</v>
      </c>
      <c r="C131" t="s">
        <v>106</v>
      </c>
      <c r="D131" s="3" t="s">
        <v>219</v>
      </c>
      <c r="E131" t="s">
        <v>2</v>
      </c>
      <c r="F131" t="str">
        <f t="shared" ref="F131:F136" si="17">RIGHT(A131, 4)</f>
        <v>CH20</v>
      </c>
      <c r="G131" t="s">
        <v>217</v>
      </c>
      <c r="H131" t="s">
        <v>218</v>
      </c>
    </row>
    <row r="132" spans="1:8" x14ac:dyDescent="0.25">
      <c r="A132" t="s">
        <v>298</v>
      </c>
      <c r="B132" t="s">
        <v>126</v>
      </c>
      <c r="C132" t="s">
        <v>106</v>
      </c>
      <c r="D132" s="3" t="s">
        <v>220</v>
      </c>
      <c r="E132" t="s">
        <v>2</v>
      </c>
      <c r="F132" t="str">
        <f t="shared" si="17"/>
        <v>CH99</v>
      </c>
      <c r="G132" t="s">
        <v>217</v>
      </c>
      <c r="H132" t="s">
        <v>218</v>
      </c>
    </row>
    <row r="133" spans="1:8" x14ac:dyDescent="0.25">
      <c r="A133" t="s">
        <v>299</v>
      </c>
      <c r="B133" t="s">
        <v>126</v>
      </c>
      <c r="C133" t="s">
        <v>106</v>
      </c>
      <c r="D133" s="3" t="s">
        <v>221</v>
      </c>
      <c r="E133" t="s">
        <v>2</v>
      </c>
      <c r="F133" t="str">
        <f t="shared" si="17"/>
        <v>DE20</v>
      </c>
      <c r="G133" t="s">
        <v>217</v>
      </c>
      <c r="H133" t="s">
        <v>218</v>
      </c>
    </row>
    <row r="134" spans="1:8" x14ac:dyDescent="0.25">
      <c r="A134" t="s">
        <v>300</v>
      </c>
      <c r="B134" t="s">
        <v>126</v>
      </c>
      <c r="C134" t="s">
        <v>106</v>
      </c>
      <c r="D134" s="3" t="s">
        <v>112</v>
      </c>
      <c r="E134" t="s">
        <v>26</v>
      </c>
      <c r="F134" t="str">
        <f t="shared" si="17"/>
        <v>DE23</v>
      </c>
      <c r="G134" t="s">
        <v>217</v>
      </c>
      <c r="H134" t="s">
        <v>218</v>
      </c>
    </row>
    <row r="135" spans="1:8" x14ac:dyDescent="0.25">
      <c r="A135" t="s">
        <v>301</v>
      </c>
      <c r="B135" t="s">
        <v>126</v>
      </c>
      <c r="C135" t="s">
        <v>106</v>
      </c>
      <c r="D135" s="3" t="s">
        <v>222</v>
      </c>
      <c r="E135" t="s">
        <v>26</v>
      </c>
      <c r="F135" t="str">
        <f t="shared" si="17"/>
        <v>EW30</v>
      </c>
      <c r="G135" t="s">
        <v>217</v>
      </c>
      <c r="H135" t="s">
        <v>218</v>
      </c>
    </row>
    <row r="136" spans="1:8" x14ac:dyDescent="0.25">
      <c r="A136" t="s">
        <v>302</v>
      </c>
      <c r="B136" t="s">
        <v>126</v>
      </c>
      <c r="C136" t="s">
        <v>106</v>
      </c>
      <c r="D136" t="s">
        <v>115</v>
      </c>
      <c r="E136" t="s">
        <v>26</v>
      </c>
      <c r="F136" t="str">
        <f t="shared" si="17"/>
        <v>TR30</v>
      </c>
      <c r="G136" t="s">
        <v>217</v>
      </c>
      <c r="H136" t="s">
        <v>218</v>
      </c>
    </row>
    <row r="138" spans="1:8" x14ac:dyDescent="0.25">
      <c r="A138" s="1" t="s">
        <v>273</v>
      </c>
    </row>
    <row r="139" spans="1:8" x14ac:dyDescent="0.25">
      <c r="A139" t="s">
        <v>458</v>
      </c>
      <c r="B139" t="s">
        <v>465</v>
      </c>
      <c r="C139" t="s">
        <v>274</v>
      </c>
      <c r="D139" t="s">
        <v>459</v>
      </c>
      <c r="E139" t="str">
        <f t="shared" ref="E139:E146" si="18">IF(ISNUMBER(SEARCH("M2D",A139)),"2D","3D")</f>
        <v>3D</v>
      </c>
      <c r="F139" t="str">
        <f t="shared" ref="F139:F146" si="19">RIGHT(A139, 4)</f>
        <v>DE01</v>
      </c>
      <c r="G139" t="s">
        <v>275</v>
      </c>
      <c r="H139" t="s">
        <v>276</v>
      </c>
    </row>
    <row r="140" spans="1:8" x14ac:dyDescent="0.25">
      <c r="A140" t="s">
        <v>451</v>
      </c>
      <c r="B140" t="s">
        <v>465</v>
      </c>
      <c r="C140" t="s">
        <v>274</v>
      </c>
      <c r="D140" t="s">
        <v>444</v>
      </c>
      <c r="E140" t="str">
        <f t="shared" si="18"/>
        <v>3D</v>
      </c>
      <c r="F140" t="str">
        <f t="shared" si="19"/>
        <v>DE21</v>
      </c>
      <c r="G140" t="s">
        <v>275</v>
      </c>
      <c r="H140" t="s">
        <v>276</v>
      </c>
    </row>
    <row r="141" spans="1:8" x14ac:dyDescent="0.25">
      <c r="A141" t="s">
        <v>452</v>
      </c>
      <c r="B141" t="s">
        <v>465</v>
      </c>
      <c r="C141" t="s">
        <v>274</v>
      </c>
      <c r="D141" t="s">
        <v>445</v>
      </c>
      <c r="E141" t="str">
        <f t="shared" si="18"/>
        <v>3D</v>
      </c>
      <c r="F141" t="str">
        <f t="shared" si="19"/>
        <v>DE31</v>
      </c>
      <c r="G141" t="s">
        <v>275</v>
      </c>
      <c r="H141" t="s">
        <v>276</v>
      </c>
    </row>
    <row r="142" spans="1:8" x14ac:dyDescent="0.25">
      <c r="A142" t="s">
        <v>453</v>
      </c>
      <c r="B142" t="s">
        <v>465</v>
      </c>
      <c r="C142" t="s">
        <v>274</v>
      </c>
      <c r="D142" t="s">
        <v>446</v>
      </c>
      <c r="E142" t="str">
        <f t="shared" si="18"/>
        <v>3D</v>
      </c>
      <c r="F142" t="str">
        <f t="shared" si="19"/>
        <v>DE41</v>
      </c>
      <c r="G142" t="s">
        <v>275</v>
      </c>
      <c r="H142" t="s">
        <v>276</v>
      </c>
    </row>
    <row r="143" spans="1:8" x14ac:dyDescent="0.25">
      <c r="A143" t="s">
        <v>455</v>
      </c>
      <c r="B143" t="s">
        <v>465</v>
      </c>
      <c r="C143" t="s">
        <v>274</v>
      </c>
      <c r="D143" t="s">
        <v>447</v>
      </c>
      <c r="E143" t="str">
        <f t="shared" si="18"/>
        <v>3D</v>
      </c>
      <c r="F143" t="str">
        <f t="shared" si="19"/>
        <v>DE01</v>
      </c>
      <c r="G143" t="s">
        <v>275</v>
      </c>
      <c r="H143" t="s">
        <v>276</v>
      </c>
    </row>
    <row r="144" spans="1:8" x14ac:dyDescent="0.25">
      <c r="A144" t="s">
        <v>454</v>
      </c>
      <c r="B144" t="s">
        <v>465</v>
      </c>
      <c r="C144" t="s">
        <v>274</v>
      </c>
      <c r="D144" t="s">
        <v>448</v>
      </c>
      <c r="E144" t="str">
        <f t="shared" si="18"/>
        <v>3D</v>
      </c>
      <c r="F144" t="str">
        <f t="shared" si="19"/>
        <v>DE02</v>
      </c>
      <c r="G144" t="s">
        <v>275</v>
      </c>
      <c r="H144" t="s">
        <v>276</v>
      </c>
    </row>
    <row r="145" spans="1:8" x14ac:dyDescent="0.25">
      <c r="A145" t="s">
        <v>456</v>
      </c>
      <c r="B145" t="s">
        <v>465</v>
      </c>
      <c r="C145" t="s">
        <v>274</v>
      </c>
      <c r="D145" t="s">
        <v>449</v>
      </c>
      <c r="E145" t="str">
        <f t="shared" si="18"/>
        <v>3D</v>
      </c>
      <c r="F145" t="str">
        <f t="shared" si="19"/>
        <v>RW01</v>
      </c>
      <c r="G145" t="s">
        <v>275</v>
      </c>
      <c r="H145" t="s">
        <v>276</v>
      </c>
    </row>
    <row r="146" spans="1:8" x14ac:dyDescent="0.25">
      <c r="A146" t="s">
        <v>457</v>
      </c>
      <c r="B146" t="s">
        <v>465</v>
      </c>
      <c r="C146" t="s">
        <v>274</v>
      </c>
      <c r="D146" t="s">
        <v>450</v>
      </c>
      <c r="E146" t="str">
        <f t="shared" si="18"/>
        <v>3D</v>
      </c>
      <c r="F146" t="str">
        <f t="shared" si="19"/>
        <v>RW11</v>
      </c>
      <c r="G146" t="s">
        <v>275</v>
      </c>
      <c r="H146" t="s">
        <v>276</v>
      </c>
    </row>
    <row r="147" spans="1:8" x14ac:dyDescent="0.25">
      <c r="D147" s="2"/>
    </row>
    <row r="149" spans="1:8" x14ac:dyDescent="0.25">
      <c r="A149" s="1" t="s">
        <v>248</v>
      </c>
    </row>
    <row r="150" spans="1:8" x14ac:dyDescent="0.25">
      <c r="A150" t="s">
        <v>244</v>
      </c>
      <c r="B150" t="s">
        <v>255</v>
      </c>
      <c r="C150" s="2" t="s">
        <v>25</v>
      </c>
      <c r="D150" t="s">
        <v>249</v>
      </c>
      <c r="E150" t="s">
        <v>2</v>
      </c>
      <c r="F150" t="str">
        <f t="shared" ref="F150:F153" si="20">RIGHT(A150, 4)</f>
        <v>CB02</v>
      </c>
      <c r="G150" t="s">
        <v>254</v>
      </c>
      <c r="H150" t="s">
        <v>253</v>
      </c>
    </row>
    <row r="151" spans="1:8" x14ac:dyDescent="0.25">
      <c r="A151" t="s">
        <v>245</v>
      </c>
      <c r="B151" t="s">
        <v>255</v>
      </c>
      <c r="C151" s="2" t="s">
        <v>25</v>
      </c>
      <c r="D151" t="s">
        <v>250</v>
      </c>
      <c r="E151" t="s">
        <v>2</v>
      </c>
      <c r="F151" t="str">
        <f t="shared" si="20"/>
        <v>PB01</v>
      </c>
      <c r="G151" t="s">
        <v>254</v>
      </c>
      <c r="H151" t="s">
        <v>253</v>
      </c>
    </row>
    <row r="152" spans="1:8" x14ac:dyDescent="0.25">
      <c r="A152" t="s">
        <v>246</v>
      </c>
      <c r="B152" t="s">
        <v>255</v>
      </c>
      <c r="C152" s="2" t="s">
        <v>25</v>
      </c>
      <c r="D152" t="s">
        <v>251</v>
      </c>
      <c r="E152" t="s">
        <v>26</v>
      </c>
      <c r="F152" t="str">
        <f t="shared" si="20"/>
        <v>FS01</v>
      </c>
      <c r="G152" t="s">
        <v>254</v>
      </c>
      <c r="H152" t="s">
        <v>253</v>
      </c>
    </row>
    <row r="153" spans="1:8" x14ac:dyDescent="0.25">
      <c r="A153" t="s">
        <v>247</v>
      </c>
      <c r="B153" t="s">
        <v>255</v>
      </c>
      <c r="C153" s="2" t="s">
        <v>25</v>
      </c>
      <c r="D153" t="s">
        <v>252</v>
      </c>
      <c r="E153" t="s">
        <v>26</v>
      </c>
      <c r="F153" t="str">
        <f t="shared" si="20"/>
        <v>TR01</v>
      </c>
      <c r="G153" t="s">
        <v>254</v>
      </c>
      <c r="H153" t="s">
        <v>253</v>
      </c>
    </row>
    <row r="154" spans="1:8" x14ac:dyDescent="0.25">
      <c r="A154" t="s">
        <v>272</v>
      </c>
      <c r="B154" t="s">
        <v>255</v>
      </c>
      <c r="C154" s="2" t="s">
        <v>25</v>
      </c>
      <c r="D154" t="s">
        <v>262</v>
      </c>
      <c r="E154" t="s">
        <v>26</v>
      </c>
      <c r="F154" t="str">
        <f t="shared" ref="F154" si="21">RIGHT(A154, 4)</f>
        <v>TR02</v>
      </c>
      <c r="G154" t="s">
        <v>254</v>
      </c>
      <c r="H154" t="s">
        <v>253</v>
      </c>
    </row>
    <row r="155" spans="1:8" x14ac:dyDescent="0.25">
      <c r="C155" s="2"/>
    </row>
    <row r="156" spans="1:8" x14ac:dyDescent="0.25">
      <c r="A156" s="1" t="s">
        <v>263</v>
      </c>
    </row>
    <row r="157" spans="1:8" x14ac:dyDescent="0.25">
      <c r="A157" t="s">
        <v>267</v>
      </c>
      <c r="B157" t="s">
        <v>264</v>
      </c>
      <c r="C157" s="2" t="s">
        <v>25</v>
      </c>
      <c r="D157" s="2" t="s">
        <v>269</v>
      </c>
      <c r="E157" t="s">
        <v>26</v>
      </c>
      <c r="F157" t="str">
        <f t="shared" ref="F157:F158" si="22">RIGHT(A157, 4)</f>
        <v>EX01</v>
      </c>
      <c r="G157" t="s">
        <v>265</v>
      </c>
      <c r="H157" t="s">
        <v>271</v>
      </c>
    </row>
    <row r="158" spans="1:8" x14ac:dyDescent="0.25">
      <c r="A158" t="s">
        <v>268</v>
      </c>
      <c r="B158" t="s">
        <v>264</v>
      </c>
      <c r="C158" s="2" t="s">
        <v>25</v>
      </c>
      <c r="D158" s="2" t="s">
        <v>270</v>
      </c>
      <c r="E158" t="s">
        <v>26</v>
      </c>
      <c r="F158" t="str">
        <f t="shared" si="22"/>
        <v>EX01</v>
      </c>
      <c r="G158" t="s">
        <v>265</v>
      </c>
      <c r="H158" t="s">
        <v>266</v>
      </c>
    </row>
    <row r="159" spans="1:8" x14ac:dyDescent="0.25">
      <c r="D159" s="4"/>
    </row>
    <row r="160" spans="1:8" x14ac:dyDescent="0.25">
      <c r="A160" s="1" t="s">
        <v>174</v>
      </c>
      <c r="D160" s="3"/>
    </row>
    <row r="161" spans="1:8" x14ac:dyDescent="0.25">
      <c r="A161" t="s">
        <v>175</v>
      </c>
      <c r="B161" t="s">
        <v>177</v>
      </c>
      <c r="C161" s="2" t="s">
        <v>25</v>
      </c>
      <c r="D161" s="4" t="s">
        <v>178</v>
      </c>
      <c r="E161" t="s">
        <v>26</v>
      </c>
      <c r="F161" t="str">
        <f t="shared" ref="F161:F164" si="23">RIGHT(A161, 4)</f>
        <v>EX01</v>
      </c>
      <c r="G161" t="s">
        <v>180</v>
      </c>
      <c r="H161" t="s">
        <v>181</v>
      </c>
    </row>
    <row r="162" spans="1:8" x14ac:dyDescent="0.25">
      <c r="A162" t="s">
        <v>176</v>
      </c>
      <c r="B162" t="s">
        <v>177</v>
      </c>
      <c r="C162" s="2" t="s">
        <v>25</v>
      </c>
      <c r="D162" s="4" t="s">
        <v>179</v>
      </c>
      <c r="E162" t="s">
        <v>26</v>
      </c>
      <c r="F162" t="str">
        <f t="shared" si="23"/>
        <v>EX01</v>
      </c>
      <c r="G162" t="s">
        <v>180</v>
      </c>
      <c r="H162" t="s">
        <v>296</v>
      </c>
    </row>
    <row r="163" spans="1:8" x14ac:dyDescent="0.25">
      <c r="A163" t="s">
        <v>291</v>
      </c>
      <c r="B163" t="s">
        <v>177</v>
      </c>
      <c r="C163" t="s">
        <v>293</v>
      </c>
      <c r="D163" s="3" t="s">
        <v>294</v>
      </c>
      <c r="E163" t="s">
        <v>26</v>
      </c>
      <c r="F163" t="str">
        <f t="shared" si="23"/>
        <v>AB01</v>
      </c>
      <c r="G163" t="s">
        <v>180</v>
      </c>
      <c r="H163" t="s">
        <v>182</v>
      </c>
    </row>
    <row r="164" spans="1:8" x14ac:dyDescent="0.25">
      <c r="A164" t="s">
        <v>292</v>
      </c>
      <c r="B164" t="s">
        <v>177</v>
      </c>
      <c r="C164" t="s">
        <v>293</v>
      </c>
      <c r="D164" s="3" t="s">
        <v>295</v>
      </c>
      <c r="E164" t="s">
        <v>26</v>
      </c>
      <c r="F164" t="str">
        <f t="shared" si="23"/>
        <v>AB01</v>
      </c>
      <c r="G164" t="s">
        <v>180</v>
      </c>
      <c r="H164" t="s">
        <v>181</v>
      </c>
    </row>
    <row r="165" spans="1:8" x14ac:dyDescent="0.25">
      <c r="D165" s="3"/>
    </row>
    <row r="166" spans="1:8" x14ac:dyDescent="0.25">
      <c r="A166" s="1" t="s">
        <v>386</v>
      </c>
    </row>
    <row r="167" spans="1:8" x14ac:dyDescent="0.25">
      <c r="A167" t="s">
        <v>305</v>
      </c>
      <c r="B167" t="s">
        <v>126</v>
      </c>
      <c r="C167" t="s">
        <v>106</v>
      </c>
      <c r="D167" t="s">
        <v>306</v>
      </c>
      <c r="E167" t="s">
        <v>2</v>
      </c>
      <c r="F167" t="str">
        <f t="shared" ref="F167:F187" si="24">RIGHT(A167, 4)</f>
        <v>CH01</v>
      </c>
      <c r="G167" t="s">
        <v>348</v>
      </c>
      <c r="H167" t="s">
        <v>307</v>
      </c>
    </row>
    <row r="168" spans="1:8" x14ac:dyDescent="0.25">
      <c r="A168" t="s">
        <v>308</v>
      </c>
      <c r="B168" t="s">
        <v>126</v>
      </c>
      <c r="C168" t="s">
        <v>106</v>
      </c>
      <c r="D168" t="s">
        <v>309</v>
      </c>
      <c r="E168" t="s">
        <v>2</v>
      </c>
      <c r="F168" t="str">
        <f t="shared" si="24"/>
        <v>CH10</v>
      </c>
      <c r="G168" t="s">
        <v>348</v>
      </c>
      <c r="H168" t="s">
        <v>307</v>
      </c>
    </row>
    <row r="169" spans="1:8" x14ac:dyDescent="0.25">
      <c r="A169" t="s">
        <v>310</v>
      </c>
      <c r="B169" t="s">
        <v>126</v>
      </c>
      <c r="C169" t="s">
        <v>106</v>
      </c>
      <c r="D169" t="s">
        <v>311</v>
      </c>
      <c r="E169" t="s">
        <v>2</v>
      </c>
      <c r="F169" t="str">
        <f t="shared" si="24"/>
        <v>CH30</v>
      </c>
      <c r="G169" t="s">
        <v>348</v>
      </c>
      <c r="H169" t="s">
        <v>307</v>
      </c>
    </row>
    <row r="170" spans="1:8" x14ac:dyDescent="0.25">
      <c r="A170" t="s">
        <v>312</v>
      </c>
      <c r="B170" t="s">
        <v>126</v>
      </c>
      <c r="C170" t="s">
        <v>106</v>
      </c>
      <c r="D170" t="s">
        <v>313</v>
      </c>
      <c r="E170" t="s">
        <v>2</v>
      </c>
      <c r="F170" t="str">
        <f t="shared" si="24"/>
        <v>CH80</v>
      </c>
      <c r="G170" t="s">
        <v>348</v>
      </c>
      <c r="H170" t="s">
        <v>307</v>
      </c>
    </row>
    <row r="171" spans="1:8" x14ac:dyDescent="0.25">
      <c r="A171" t="s">
        <v>314</v>
      </c>
      <c r="B171" t="s">
        <v>126</v>
      </c>
      <c r="C171" t="s">
        <v>106</v>
      </c>
      <c r="D171" t="s">
        <v>315</v>
      </c>
      <c r="E171" t="s">
        <v>2</v>
      </c>
      <c r="F171" t="str">
        <f t="shared" si="24"/>
        <v>CH90</v>
      </c>
      <c r="G171" t="s">
        <v>348</v>
      </c>
      <c r="H171" t="s">
        <v>307</v>
      </c>
    </row>
    <row r="172" spans="1:8" x14ac:dyDescent="0.25">
      <c r="A172" t="s">
        <v>316</v>
      </c>
      <c r="B172" t="s">
        <v>126</v>
      </c>
      <c r="C172" t="s">
        <v>106</v>
      </c>
      <c r="D172" t="s">
        <v>317</v>
      </c>
      <c r="E172" t="s">
        <v>26</v>
      </c>
      <c r="F172" t="str">
        <f t="shared" si="24"/>
        <v>DE01</v>
      </c>
      <c r="G172" t="s">
        <v>348</v>
      </c>
      <c r="H172" t="s">
        <v>307</v>
      </c>
    </row>
    <row r="173" spans="1:8" x14ac:dyDescent="0.25">
      <c r="A173" t="s">
        <v>318</v>
      </c>
      <c r="B173" t="s">
        <v>126</v>
      </c>
      <c r="C173" t="s">
        <v>106</v>
      </c>
      <c r="D173" t="s">
        <v>319</v>
      </c>
      <c r="E173" t="s">
        <v>26</v>
      </c>
      <c r="F173" t="str">
        <f t="shared" si="24"/>
        <v>DE80</v>
      </c>
      <c r="G173" t="s">
        <v>348</v>
      </c>
      <c r="H173" t="s">
        <v>307</v>
      </c>
    </row>
    <row r="174" spans="1:8" x14ac:dyDescent="0.25">
      <c r="A174" t="s">
        <v>320</v>
      </c>
      <c r="B174" t="s">
        <v>126</v>
      </c>
      <c r="C174" t="s">
        <v>106</v>
      </c>
      <c r="D174" t="s">
        <v>321</v>
      </c>
      <c r="E174" t="s">
        <v>26</v>
      </c>
      <c r="F174" t="str">
        <f t="shared" si="24"/>
        <v>DE90</v>
      </c>
      <c r="G174" t="s">
        <v>348</v>
      </c>
      <c r="H174" t="s">
        <v>307</v>
      </c>
    </row>
    <row r="175" spans="1:8" x14ac:dyDescent="0.25">
      <c r="A175" t="s">
        <v>322</v>
      </c>
      <c r="B175" t="s">
        <v>126</v>
      </c>
      <c r="C175" t="s">
        <v>106</v>
      </c>
      <c r="D175" t="s">
        <v>323</v>
      </c>
      <c r="E175" t="s">
        <v>26</v>
      </c>
      <c r="F175" t="str">
        <f t="shared" si="24"/>
        <v>EW10</v>
      </c>
      <c r="G175" t="s">
        <v>348</v>
      </c>
      <c r="H175" t="s">
        <v>307</v>
      </c>
    </row>
    <row r="176" spans="1:8" x14ac:dyDescent="0.25">
      <c r="A176" t="s">
        <v>324</v>
      </c>
      <c r="B176" t="s">
        <v>126</v>
      </c>
      <c r="C176" t="s">
        <v>106</v>
      </c>
      <c r="D176" t="s">
        <v>325</v>
      </c>
      <c r="E176" t="s">
        <v>26</v>
      </c>
      <c r="F176" t="str">
        <f t="shared" si="24"/>
        <v>EW80</v>
      </c>
      <c r="G176" t="s">
        <v>348</v>
      </c>
      <c r="H176" t="s">
        <v>307</v>
      </c>
    </row>
    <row r="177" spans="1:8" x14ac:dyDescent="0.25">
      <c r="A177" t="s">
        <v>326</v>
      </c>
      <c r="B177" t="s">
        <v>126</v>
      </c>
      <c r="C177" t="s">
        <v>106</v>
      </c>
      <c r="D177" t="s">
        <v>327</v>
      </c>
      <c r="E177" t="s">
        <v>26</v>
      </c>
      <c r="F177" t="str">
        <f t="shared" si="24"/>
        <v>EW90</v>
      </c>
      <c r="G177" t="s">
        <v>348</v>
      </c>
      <c r="H177" t="s">
        <v>307</v>
      </c>
    </row>
    <row r="178" spans="1:8" x14ac:dyDescent="0.25">
      <c r="A178" t="s">
        <v>328</v>
      </c>
      <c r="B178" t="s">
        <v>126</v>
      </c>
      <c r="C178" t="s">
        <v>106</v>
      </c>
      <c r="D178" t="s">
        <v>329</v>
      </c>
      <c r="E178" t="s">
        <v>26</v>
      </c>
      <c r="F178" t="str">
        <f t="shared" si="24"/>
        <v>TR10</v>
      </c>
      <c r="G178" t="s">
        <v>348</v>
      </c>
      <c r="H178" t="s">
        <v>307</v>
      </c>
    </row>
    <row r="179" spans="1:8" x14ac:dyDescent="0.25">
      <c r="A179" t="s">
        <v>330</v>
      </c>
      <c r="B179" t="s">
        <v>126</v>
      </c>
      <c r="C179" t="s">
        <v>106</v>
      </c>
      <c r="D179" t="s">
        <v>331</v>
      </c>
      <c r="E179" t="s">
        <v>26</v>
      </c>
      <c r="F179" t="str">
        <f t="shared" si="24"/>
        <v>TR20</v>
      </c>
      <c r="G179" t="s">
        <v>348</v>
      </c>
      <c r="H179" t="s">
        <v>307</v>
      </c>
    </row>
    <row r="180" spans="1:8" x14ac:dyDescent="0.25">
      <c r="A180" t="s">
        <v>332</v>
      </c>
      <c r="B180" t="s">
        <v>126</v>
      </c>
      <c r="C180" t="s">
        <v>106</v>
      </c>
      <c r="D180" t="s">
        <v>333</v>
      </c>
      <c r="E180" t="s">
        <v>26</v>
      </c>
      <c r="F180" t="str">
        <f t="shared" si="24"/>
        <v>TR30</v>
      </c>
      <c r="G180" t="s">
        <v>348</v>
      </c>
      <c r="H180" t="s">
        <v>307</v>
      </c>
    </row>
    <row r="181" spans="1:8" x14ac:dyDescent="0.25">
      <c r="A181" t="s">
        <v>334</v>
      </c>
      <c r="B181" t="s">
        <v>126</v>
      </c>
      <c r="C181" t="s">
        <v>106</v>
      </c>
      <c r="D181" t="s">
        <v>335</v>
      </c>
      <c r="E181" t="s">
        <v>26</v>
      </c>
      <c r="F181" t="str">
        <f t="shared" si="24"/>
        <v>TR40</v>
      </c>
      <c r="G181" t="s">
        <v>348</v>
      </c>
      <c r="H181" t="s">
        <v>307</v>
      </c>
    </row>
    <row r="182" spans="1:8" x14ac:dyDescent="0.25">
      <c r="A182" t="s">
        <v>336</v>
      </c>
      <c r="B182" t="s">
        <v>126</v>
      </c>
      <c r="C182" t="s">
        <v>106</v>
      </c>
      <c r="D182" t="s">
        <v>337</v>
      </c>
      <c r="E182" t="s">
        <v>26</v>
      </c>
      <c r="F182" t="str">
        <f t="shared" si="24"/>
        <v>TR60</v>
      </c>
      <c r="G182" t="s">
        <v>348</v>
      </c>
      <c r="H182" t="s">
        <v>307</v>
      </c>
    </row>
    <row r="183" spans="1:8" x14ac:dyDescent="0.25">
      <c r="A183" t="s">
        <v>338</v>
      </c>
      <c r="B183" t="s">
        <v>126</v>
      </c>
      <c r="C183" t="s">
        <v>106</v>
      </c>
      <c r="D183" t="s">
        <v>339</v>
      </c>
      <c r="E183" t="s">
        <v>26</v>
      </c>
      <c r="F183" t="str">
        <f t="shared" si="24"/>
        <v>TR70</v>
      </c>
      <c r="G183" t="s">
        <v>348</v>
      </c>
      <c r="H183" t="s">
        <v>307</v>
      </c>
    </row>
    <row r="184" spans="1:8" x14ac:dyDescent="0.25">
      <c r="A184" t="s">
        <v>340</v>
      </c>
      <c r="B184" t="s">
        <v>126</v>
      </c>
      <c r="C184" t="s">
        <v>106</v>
      </c>
      <c r="D184" t="s">
        <v>341</v>
      </c>
      <c r="E184" t="s">
        <v>26</v>
      </c>
      <c r="F184" t="str">
        <f t="shared" si="24"/>
        <v>TR80</v>
      </c>
      <c r="G184" t="s">
        <v>348</v>
      </c>
      <c r="H184" t="s">
        <v>307</v>
      </c>
    </row>
    <row r="185" spans="1:8" x14ac:dyDescent="0.25">
      <c r="A185" t="s">
        <v>342</v>
      </c>
      <c r="B185" t="s">
        <v>126</v>
      </c>
      <c r="C185" t="s">
        <v>106</v>
      </c>
      <c r="D185" t="s">
        <v>343</v>
      </c>
      <c r="E185" t="s">
        <v>26</v>
      </c>
      <c r="F185" t="str">
        <f t="shared" si="24"/>
        <v>TR90</v>
      </c>
      <c r="G185" t="s">
        <v>348</v>
      </c>
      <c r="H185" t="s">
        <v>307</v>
      </c>
    </row>
    <row r="186" spans="1:8" x14ac:dyDescent="0.25">
      <c r="A186" t="s">
        <v>344</v>
      </c>
      <c r="B186" t="s">
        <v>126</v>
      </c>
      <c r="C186" t="s">
        <v>106</v>
      </c>
      <c r="D186" t="s">
        <v>345</v>
      </c>
      <c r="E186" t="s">
        <v>26</v>
      </c>
      <c r="F186" t="str">
        <f t="shared" si="24"/>
        <v>DE70</v>
      </c>
      <c r="G186" t="s">
        <v>348</v>
      </c>
      <c r="H186" t="s">
        <v>307</v>
      </c>
    </row>
    <row r="187" spans="1:8" x14ac:dyDescent="0.25">
      <c r="A187" t="s">
        <v>346</v>
      </c>
      <c r="B187" t="s">
        <v>126</v>
      </c>
      <c r="C187" t="s">
        <v>106</v>
      </c>
      <c r="D187" t="s">
        <v>347</v>
      </c>
      <c r="E187" t="s">
        <v>26</v>
      </c>
      <c r="F187" t="str">
        <f t="shared" si="24"/>
        <v>DE90</v>
      </c>
      <c r="G187" t="s">
        <v>348</v>
      </c>
      <c r="H187" t="s">
        <v>307</v>
      </c>
    </row>
    <row r="189" spans="1:8" x14ac:dyDescent="0.25">
      <c r="A189" s="1" t="s">
        <v>387</v>
      </c>
    </row>
    <row r="190" spans="1:8" x14ac:dyDescent="0.25">
      <c r="A190" t="s">
        <v>349</v>
      </c>
      <c r="B190" t="s">
        <v>366</v>
      </c>
      <c r="C190" t="s">
        <v>122</v>
      </c>
      <c r="D190" t="s">
        <v>369</v>
      </c>
      <c r="E190" t="str">
        <f>IF(ISNUMBER(SEARCH("M2D",A190)),"2D","3D")</f>
        <v>3D</v>
      </c>
      <c r="F190" t="str">
        <f t="shared" ref="F190:F206" si="25">RIGHT(A190, 4)</f>
        <v>TR30</v>
      </c>
      <c r="G190" t="s">
        <v>389</v>
      </c>
      <c r="H190" t="s">
        <v>388</v>
      </c>
    </row>
    <row r="191" spans="1:8" x14ac:dyDescent="0.25">
      <c r="A191" t="s">
        <v>350</v>
      </c>
      <c r="B191" t="s">
        <v>367</v>
      </c>
      <c r="C191" t="s">
        <v>122</v>
      </c>
      <c r="D191" t="s">
        <v>370</v>
      </c>
      <c r="E191" t="str">
        <f t="shared" ref="E191:E206" si="26">IF(ISNUMBER(SEARCH("M2D",A191)),"2D","3D")</f>
        <v>3D</v>
      </c>
      <c r="F191" t="str">
        <f t="shared" si="25"/>
        <v>TR02</v>
      </c>
      <c r="G191" t="s">
        <v>389</v>
      </c>
      <c r="H191" t="s">
        <v>388</v>
      </c>
    </row>
    <row r="192" spans="1:8" x14ac:dyDescent="0.25">
      <c r="A192" t="s">
        <v>351</v>
      </c>
      <c r="B192" t="s">
        <v>367</v>
      </c>
      <c r="C192" t="s">
        <v>122</v>
      </c>
      <c r="D192" t="s">
        <v>371</v>
      </c>
      <c r="E192" t="str">
        <f t="shared" si="26"/>
        <v>3D</v>
      </c>
      <c r="F192" t="str">
        <f t="shared" si="25"/>
        <v>TR34</v>
      </c>
      <c r="G192" t="s">
        <v>389</v>
      </c>
      <c r="H192" t="s">
        <v>388</v>
      </c>
    </row>
    <row r="193" spans="1:8" x14ac:dyDescent="0.25">
      <c r="A193" t="s">
        <v>352</v>
      </c>
      <c r="B193" t="s">
        <v>367</v>
      </c>
      <c r="C193" t="s">
        <v>122</v>
      </c>
      <c r="D193" t="s">
        <v>372</v>
      </c>
      <c r="E193" t="str">
        <f t="shared" si="26"/>
        <v>3D</v>
      </c>
      <c r="F193" t="str">
        <f t="shared" si="25"/>
        <v>TR38</v>
      </c>
      <c r="G193" t="s">
        <v>389</v>
      </c>
      <c r="H193" t="s">
        <v>388</v>
      </c>
    </row>
    <row r="194" spans="1:8" x14ac:dyDescent="0.25">
      <c r="A194" t="s">
        <v>353</v>
      </c>
      <c r="B194" t="s">
        <v>366</v>
      </c>
      <c r="C194" t="s">
        <v>122</v>
      </c>
      <c r="D194" t="s">
        <v>373</v>
      </c>
      <c r="E194" t="str">
        <f t="shared" si="26"/>
        <v>3D</v>
      </c>
      <c r="F194" t="str">
        <f t="shared" si="25"/>
        <v>TR31</v>
      </c>
      <c r="G194" t="s">
        <v>389</v>
      </c>
      <c r="H194" t="s">
        <v>388</v>
      </c>
    </row>
    <row r="195" spans="1:8" x14ac:dyDescent="0.25">
      <c r="A195" t="s">
        <v>354</v>
      </c>
      <c r="B195" t="s">
        <v>367</v>
      </c>
      <c r="C195" t="s">
        <v>122</v>
      </c>
      <c r="D195" t="s">
        <v>374</v>
      </c>
      <c r="E195" t="str">
        <f t="shared" si="26"/>
        <v>3D</v>
      </c>
      <c r="F195" t="str">
        <f t="shared" si="25"/>
        <v>TR20</v>
      </c>
      <c r="G195" t="s">
        <v>389</v>
      </c>
      <c r="H195" t="s">
        <v>388</v>
      </c>
    </row>
    <row r="196" spans="1:8" x14ac:dyDescent="0.25">
      <c r="A196" t="s">
        <v>355</v>
      </c>
      <c r="B196" t="s">
        <v>366</v>
      </c>
      <c r="C196" t="s">
        <v>122</v>
      </c>
      <c r="D196" t="s">
        <v>375</v>
      </c>
      <c r="E196" t="str">
        <f t="shared" si="26"/>
        <v>3D</v>
      </c>
      <c r="F196" t="str">
        <f t="shared" si="25"/>
        <v>TR41</v>
      </c>
      <c r="G196" t="s">
        <v>389</v>
      </c>
      <c r="H196" t="s">
        <v>388</v>
      </c>
    </row>
    <row r="197" spans="1:8" x14ac:dyDescent="0.25">
      <c r="A197" t="s">
        <v>356</v>
      </c>
      <c r="B197" t="s">
        <v>368</v>
      </c>
      <c r="C197" t="s">
        <v>122</v>
      </c>
      <c r="D197" t="s">
        <v>376</v>
      </c>
      <c r="E197" t="str">
        <f t="shared" si="26"/>
        <v>3D</v>
      </c>
      <c r="F197" t="str">
        <f t="shared" si="25"/>
        <v>TR21</v>
      </c>
      <c r="G197" t="s">
        <v>389</v>
      </c>
      <c r="H197" t="s">
        <v>388</v>
      </c>
    </row>
    <row r="198" spans="1:8" x14ac:dyDescent="0.25">
      <c r="A198" t="s">
        <v>357</v>
      </c>
      <c r="B198" t="s">
        <v>368</v>
      </c>
      <c r="C198" t="s">
        <v>122</v>
      </c>
      <c r="D198" t="s">
        <v>377</v>
      </c>
      <c r="E198" t="str">
        <f t="shared" si="26"/>
        <v>3D</v>
      </c>
      <c r="F198" t="str">
        <f t="shared" si="25"/>
        <v>TR33</v>
      </c>
      <c r="G198" t="s">
        <v>389</v>
      </c>
      <c r="H198" t="s">
        <v>388</v>
      </c>
    </row>
    <row r="199" spans="1:8" x14ac:dyDescent="0.25">
      <c r="A199" t="s">
        <v>358</v>
      </c>
      <c r="B199" t="s">
        <v>366</v>
      </c>
      <c r="C199" t="s">
        <v>122</v>
      </c>
      <c r="D199" t="s">
        <v>378</v>
      </c>
      <c r="E199" t="str">
        <f t="shared" si="26"/>
        <v>3D</v>
      </c>
      <c r="F199" t="str">
        <f t="shared" si="25"/>
        <v>EW30</v>
      </c>
      <c r="G199" t="s">
        <v>389</v>
      </c>
      <c r="H199" t="s">
        <v>388</v>
      </c>
    </row>
    <row r="200" spans="1:8" x14ac:dyDescent="0.25">
      <c r="A200" t="s">
        <v>359</v>
      </c>
      <c r="B200" t="s">
        <v>367</v>
      </c>
      <c r="C200" t="s">
        <v>122</v>
      </c>
      <c r="D200" t="s">
        <v>379</v>
      </c>
      <c r="E200" t="str">
        <f t="shared" si="26"/>
        <v>3D</v>
      </c>
      <c r="F200" t="str">
        <f t="shared" si="25"/>
        <v>EW34</v>
      </c>
      <c r="G200" t="s">
        <v>389</v>
      </c>
      <c r="H200" t="s">
        <v>388</v>
      </c>
    </row>
    <row r="201" spans="1:8" x14ac:dyDescent="0.25">
      <c r="A201" t="s">
        <v>360</v>
      </c>
      <c r="B201" t="s">
        <v>367</v>
      </c>
      <c r="C201" t="s">
        <v>122</v>
      </c>
      <c r="D201" t="s">
        <v>380</v>
      </c>
      <c r="E201" t="str">
        <f t="shared" si="26"/>
        <v>3D</v>
      </c>
      <c r="F201" t="str">
        <f t="shared" si="25"/>
        <v>EW38</v>
      </c>
      <c r="G201" t="s">
        <v>389</v>
      </c>
      <c r="H201" t="s">
        <v>388</v>
      </c>
    </row>
    <row r="202" spans="1:8" x14ac:dyDescent="0.25">
      <c r="A202" t="s">
        <v>361</v>
      </c>
      <c r="B202" t="s">
        <v>366</v>
      </c>
      <c r="C202" t="s">
        <v>122</v>
      </c>
      <c r="D202" t="s">
        <v>381</v>
      </c>
      <c r="E202" t="str">
        <f t="shared" si="26"/>
        <v>3D</v>
      </c>
      <c r="F202" t="str">
        <f t="shared" si="25"/>
        <v>EW31</v>
      </c>
      <c r="G202" t="s">
        <v>389</v>
      </c>
      <c r="H202" t="s">
        <v>388</v>
      </c>
    </row>
    <row r="203" spans="1:8" x14ac:dyDescent="0.25">
      <c r="A203" t="s">
        <v>362</v>
      </c>
      <c r="B203" t="s">
        <v>367</v>
      </c>
      <c r="C203" t="s">
        <v>122</v>
      </c>
      <c r="D203" t="s">
        <v>382</v>
      </c>
      <c r="E203" t="str">
        <f t="shared" si="26"/>
        <v>3D</v>
      </c>
      <c r="F203" t="str">
        <f t="shared" si="25"/>
        <v>EW20</v>
      </c>
      <c r="G203" t="s">
        <v>389</v>
      </c>
      <c r="H203" t="s">
        <v>388</v>
      </c>
    </row>
    <row r="204" spans="1:8" x14ac:dyDescent="0.25">
      <c r="A204" t="s">
        <v>363</v>
      </c>
      <c r="B204" t="s">
        <v>366</v>
      </c>
      <c r="C204" t="s">
        <v>122</v>
      </c>
      <c r="D204" t="s">
        <v>383</v>
      </c>
      <c r="E204" t="str">
        <f t="shared" si="26"/>
        <v>3D</v>
      </c>
      <c r="F204" t="str">
        <f t="shared" si="25"/>
        <v>EW41</v>
      </c>
      <c r="G204" t="s">
        <v>389</v>
      </c>
      <c r="H204" t="s">
        <v>388</v>
      </c>
    </row>
    <row r="205" spans="1:8" x14ac:dyDescent="0.25">
      <c r="A205" t="s">
        <v>364</v>
      </c>
      <c r="B205" t="s">
        <v>368</v>
      </c>
      <c r="C205" t="s">
        <v>122</v>
      </c>
      <c r="D205" t="s">
        <v>384</v>
      </c>
      <c r="E205" t="str">
        <f t="shared" si="26"/>
        <v>3D</v>
      </c>
      <c r="F205" t="str">
        <f t="shared" si="25"/>
        <v>EW33</v>
      </c>
      <c r="G205" t="s">
        <v>389</v>
      </c>
      <c r="H205" t="s">
        <v>388</v>
      </c>
    </row>
    <row r="206" spans="1:8" x14ac:dyDescent="0.25">
      <c r="A206" t="s">
        <v>365</v>
      </c>
      <c r="B206" t="s">
        <v>368</v>
      </c>
      <c r="C206" t="s">
        <v>122</v>
      </c>
      <c r="D206" t="s">
        <v>385</v>
      </c>
      <c r="E206" t="str">
        <f t="shared" si="26"/>
        <v>3D</v>
      </c>
      <c r="F206" t="str">
        <f t="shared" si="25"/>
        <v>EW21</v>
      </c>
      <c r="G206" t="s">
        <v>389</v>
      </c>
      <c r="H206" t="s">
        <v>388</v>
      </c>
    </row>
    <row r="208" spans="1:8" x14ac:dyDescent="0.25">
      <c r="A208" s="1" t="s">
        <v>390</v>
      </c>
    </row>
    <row r="209" spans="1:8" x14ac:dyDescent="0.25">
      <c r="A209" t="s">
        <v>391</v>
      </c>
      <c r="B209" t="s">
        <v>402</v>
      </c>
      <c r="C209" t="s">
        <v>274</v>
      </c>
      <c r="D209" t="s">
        <v>405</v>
      </c>
      <c r="E209" t="str">
        <f t="shared" ref="E209:E234" si="27">IF(ISNUMBER(SEARCH("M2D",A209)),"2D","3D")</f>
        <v>3D</v>
      </c>
      <c r="F209" t="str">
        <f t="shared" ref="F209:F234" si="28">RIGHT(A209, 4)</f>
        <v>DE01</v>
      </c>
      <c r="G209" t="s">
        <v>443</v>
      </c>
      <c r="H209" t="s">
        <v>442</v>
      </c>
    </row>
    <row r="210" spans="1:8" x14ac:dyDescent="0.25">
      <c r="A210" t="s">
        <v>392</v>
      </c>
      <c r="B210" t="s">
        <v>402</v>
      </c>
      <c r="C210" t="s">
        <v>274</v>
      </c>
      <c r="D210" t="s">
        <v>406</v>
      </c>
      <c r="E210" t="str">
        <f t="shared" si="27"/>
        <v>3D</v>
      </c>
      <c r="F210" t="str">
        <f t="shared" si="28"/>
        <v>DE11</v>
      </c>
      <c r="G210" t="s">
        <v>443</v>
      </c>
      <c r="H210" t="s">
        <v>442</v>
      </c>
    </row>
    <row r="211" spans="1:8" x14ac:dyDescent="0.25">
      <c r="A211" t="s">
        <v>394</v>
      </c>
      <c r="B211" t="s">
        <v>402</v>
      </c>
      <c r="C211" t="s">
        <v>274</v>
      </c>
      <c r="D211" t="s">
        <v>407</v>
      </c>
      <c r="E211" t="str">
        <f t="shared" si="27"/>
        <v>3D</v>
      </c>
      <c r="F211" t="str">
        <f t="shared" si="28"/>
        <v>DE21</v>
      </c>
      <c r="G211" t="s">
        <v>443</v>
      </c>
      <c r="H211" t="s">
        <v>442</v>
      </c>
    </row>
    <row r="212" spans="1:8" x14ac:dyDescent="0.25">
      <c r="A212" t="s">
        <v>393</v>
      </c>
      <c r="B212" t="s">
        <v>402</v>
      </c>
      <c r="C212" t="s">
        <v>274</v>
      </c>
      <c r="D212" t="s">
        <v>408</v>
      </c>
      <c r="E212" t="str">
        <f t="shared" si="27"/>
        <v>3D</v>
      </c>
      <c r="F212" t="str">
        <f t="shared" si="28"/>
        <v>DE26</v>
      </c>
      <c r="G212" t="s">
        <v>443</v>
      </c>
      <c r="H212" t="s">
        <v>442</v>
      </c>
    </row>
    <row r="213" spans="1:8" x14ac:dyDescent="0.25">
      <c r="A213" t="s">
        <v>395</v>
      </c>
      <c r="B213" t="s">
        <v>402</v>
      </c>
      <c r="C213" t="s">
        <v>274</v>
      </c>
      <c r="D213" t="s">
        <v>409</v>
      </c>
      <c r="E213" t="str">
        <f t="shared" si="27"/>
        <v>3D</v>
      </c>
      <c r="F213" t="str">
        <f t="shared" si="28"/>
        <v>DE01</v>
      </c>
      <c r="G213" t="s">
        <v>443</v>
      </c>
      <c r="H213" t="s">
        <v>442</v>
      </c>
    </row>
    <row r="214" spans="1:8" x14ac:dyDescent="0.25">
      <c r="A214" t="s">
        <v>396</v>
      </c>
      <c r="B214" t="s">
        <v>402</v>
      </c>
      <c r="C214" t="s">
        <v>274</v>
      </c>
      <c r="D214" t="s">
        <v>410</v>
      </c>
      <c r="E214" t="str">
        <f t="shared" si="27"/>
        <v>3D</v>
      </c>
      <c r="F214" t="str">
        <f t="shared" si="28"/>
        <v>RW01</v>
      </c>
      <c r="G214" t="s">
        <v>443</v>
      </c>
      <c r="H214" t="s">
        <v>442</v>
      </c>
    </row>
    <row r="215" spans="1:8" x14ac:dyDescent="0.25">
      <c r="A215" t="s">
        <v>397</v>
      </c>
      <c r="B215" t="s">
        <v>402</v>
      </c>
      <c r="C215" t="s">
        <v>274</v>
      </c>
      <c r="D215" t="s">
        <v>411</v>
      </c>
      <c r="E215" t="str">
        <f t="shared" si="27"/>
        <v>3D</v>
      </c>
      <c r="F215" t="str">
        <f t="shared" si="28"/>
        <v>RW11</v>
      </c>
      <c r="G215" t="s">
        <v>443</v>
      </c>
      <c r="H215" t="s">
        <v>442</v>
      </c>
    </row>
    <row r="216" spans="1:8" x14ac:dyDescent="0.25">
      <c r="A216" t="s">
        <v>398</v>
      </c>
      <c r="B216" t="s">
        <v>403</v>
      </c>
      <c r="C216" t="s">
        <v>274</v>
      </c>
      <c r="D216" t="s">
        <v>412</v>
      </c>
      <c r="E216" t="str">
        <f t="shared" si="27"/>
        <v>3D</v>
      </c>
      <c r="F216" t="str">
        <f t="shared" si="28"/>
        <v>DE01</v>
      </c>
      <c r="G216" t="s">
        <v>443</v>
      </c>
      <c r="H216" t="s">
        <v>442</v>
      </c>
    </row>
    <row r="217" spans="1:8" x14ac:dyDescent="0.25">
      <c r="A217" t="s">
        <v>400</v>
      </c>
      <c r="B217" t="s">
        <v>403</v>
      </c>
      <c r="C217" t="s">
        <v>274</v>
      </c>
      <c r="D217" t="s">
        <v>413</v>
      </c>
      <c r="E217" t="str">
        <f t="shared" si="27"/>
        <v>3D</v>
      </c>
      <c r="F217" t="str">
        <f t="shared" si="28"/>
        <v>DE02</v>
      </c>
      <c r="G217" t="s">
        <v>443</v>
      </c>
      <c r="H217" t="s">
        <v>442</v>
      </c>
    </row>
    <row r="218" spans="1:8" x14ac:dyDescent="0.25">
      <c r="A218" t="s">
        <v>399</v>
      </c>
      <c r="B218" t="s">
        <v>403</v>
      </c>
      <c r="C218" t="s">
        <v>274</v>
      </c>
      <c r="D218" t="s">
        <v>414</v>
      </c>
      <c r="E218" t="str">
        <f t="shared" si="27"/>
        <v>3D</v>
      </c>
      <c r="F218" t="str">
        <f t="shared" si="28"/>
        <v>DE41</v>
      </c>
      <c r="G218" t="s">
        <v>443</v>
      </c>
      <c r="H218" t="s">
        <v>442</v>
      </c>
    </row>
    <row r="219" spans="1:8" x14ac:dyDescent="0.25">
      <c r="A219" t="s">
        <v>401</v>
      </c>
      <c r="B219" t="s">
        <v>403</v>
      </c>
      <c r="C219" t="s">
        <v>274</v>
      </c>
      <c r="D219" t="s">
        <v>409</v>
      </c>
      <c r="E219" t="str">
        <f t="shared" si="27"/>
        <v>3D</v>
      </c>
      <c r="F219" t="str">
        <f t="shared" si="28"/>
        <v>DE01</v>
      </c>
      <c r="G219" t="s">
        <v>443</v>
      </c>
      <c r="H219" t="s">
        <v>442</v>
      </c>
    </row>
    <row r="220" spans="1:8" x14ac:dyDescent="0.25">
      <c r="A220" t="s">
        <v>427</v>
      </c>
      <c r="B220" t="s">
        <v>403</v>
      </c>
      <c r="C220" t="s">
        <v>274</v>
      </c>
      <c r="D220" t="s">
        <v>415</v>
      </c>
      <c r="E220" t="str">
        <f t="shared" si="27"/>
        <v>3D</v>
      </c>
      <c r="F220" t="str">
        <f t="shared" si="28"/>
        <v>RW33</v>
      </c>
      <c r="G220" t="s">
        <v>443</v>
      </c>
      <c r="H220" t="s">
        <v>442</v>
      </c>
    </row>
    <row r="221" spans="1:8" x14ac:dyDescent="0.25">
      <c r="A221" t="s">
        <v>428</v>
      </c>
      <c r="B221" t="s">
        <v>404</v>
      </c>
      <c r="C221" t="s">
        <v>274</v>
      </c>
      <c r="D221" t="s">
        <v>416</v>
      </c>
      <c r="E221" t="str">
        <f t="shared" si="27"/>
        <v>3D</v>
      </c>
      <c r="F221" t="str">
        <f t="shared" si="28"/>
        <v>DE01</v>
      </c>
      <c r="G221" t="s">
        <v>443</v>
      </c>
      <c r="H221" t="s">
        <v>442</v>
      </c>
    </row>
    <row r="222" spans="1:8" x14ac:dyDescent="0.25">
      <c r="A222" t="s">
        <v>429</v>
      </c>
      <c r="B222" t="s">
        <v>404</v>
      </c>
      <c r="C222" t="s">
        <v>274</v>
      </c>
      <c r="D222" t="s">
        <v>417</v>
      </c>
      <c r="E222" t="str">
        <f t="shared" si="27"/>
        <v>3D</v>
      </c>
      <c r="F222" t="str">
        <f t="shared" si="28"/>
        <v>DE11</v>
      </c>
      <c r="G222" t="s">
        <v>443</v>
      </c>
      <c r="H222" t="s">
        <v>442</v>
      </c>
    </row>
    <row r="223" spans="1:8" x14ac:dyDescent="0.25">
      <c r="A223" t="s">
        <v>430</v>
      </c>
      <c r="B223" t="s">
        <v>404</v>
      </c>
      <c r="C223" t="s">
        <v>274</v>
      </c>
      <c r="D223" t="s">
        <v>418</v>
      </c>
      <c r="E223" t="str">
        <f t="shared" si="27"/>
        <v>3D</v>
      </c>
      <c r="F223" t="str">
        <f t="shared" si="28"/>
        <v>DE21</v>
      </c>
      <c r="G223" t="s">
        <v>443</v>
      </c>
      <c r="H223" t="s">
        <v>442</v>
      </c>
    </row>
    <row r="224" spans="1:8" x14ac:dyDescent="0.25">
      <c r="A224" t="s">
        <v>431</v>
      </c>
      <c r="B224" t="s">
        <v>404</v>
      </c>
      <c r="C224" t="s">
        <v>274</v>
      </c>
      <c r="D224" t="s">
        <v>408</v>
      </c>
      <c r="E224" t="str">
        <f t="shared" si="27"/>
        <v>3D</v>
      </c>
      <c r="F224" t="str">
        <f t="shared" si="28"/>
        <v>DE26</v>
      </c>
      <c r="G224" t="s">
        <v>443</v>
      </c>
      <c r="H224" t="s">
        <v>442</v>
      </c>
    </row>
    <row r="225" spans="1:8" x14ac:dyDescent="0.25">
      <c r="A225" t="s">
        <v>432</v>
      </c>
      <c r="B225" t="s">
        <v>404</v>
      </c>
      <c r="C225" t="s">
        <v>274</v>
      </c>
      <c r="D225" t="s">
        <v>419</v>
      </c>
      <c r="E225" t="str">
        <f t="shared" si="27"/>
        <v>3D</v>
      </c>
      <c r="F225" t="str">
        <f t="shared" si="28"/>
        <v>DE31</v>
      </c>
      <c r="G225" t="s">
        <v>443</v>
      </c>
      <c r="H225" t="s">
        <v>442</v>
      </c>
    </row>
    <row r="226" spans="1:8" x14ac:dyDescent="0.25">
      <c r="A226" t="s">
        <v>433</v>
      </c>
      <c r="B226" t="s">
        <v>404</v>
      </c>
      <c r="C226" t="s">
        <v>274</v>
      </c>
      <c r="D226" t="s">
        <v>420</v>
      </c>
      <c r="E226" t="str">
        <f t="shared" si="27"/>
        <v>3D</v>
      </c>
      <c r="F226" t="str">
        <f t="shared" si="28"/>
        <v>DE32</v>
      </c>
      <c r="G226" t="s">
        <v>443</v>
      </c>
      <c r="H226" t="s">
        <v>442</v>
      </c>
    </row>
    <row r="227" spans="1:8" x14ac:dyDescent="0.25">
      <c r="A227" t="s">
        <v>434</v>
      </c>
      <c r="B227" t="s">
        <v>404</v>
      </c>
      <c r="C227" t="s">
        <v>274</v>
      </c>
      <c r="D227" t="s">
        <v>421</v>
      </c>
      <c r="E227" t="str">
        <f t="shared" si="27"/>
        <v>3D</v>
      </c>
      <c r="F227" t="str">
        <f t="shared" si="28"/>
        <v>DE36</v>
      </c>
      <c r="G227" t="s">
        <v>443</v>
      </c>
      <c r="H227" t="s">
        <v>442</v>
      </c>
    </row>
    <row r="228" spans="1:8" x14ac:dyDescent="0.25">
      <c r="A228" t="s">
        <v>435</v>
      </c>
      <c r="B228" t="s">
        <v>404</v>
      </c>
      <c r="C228" t="s">
        <v>274</v>
      </c>
      <c r="D228" t="s">
        <v>422</v>
      </c>
      <c r="E228" t="str">
        <f t="shared" si="27"/>
        <v>3D</v>
      </c>
      <c r="F228" t="str">
        <f t="shared" si="28"/>
        <v>DE37</v>
      </c>
      <c r="G228" t="s">
        <v>443</v>
      </c>
      <c r="H228" t="s">
        <v>442</v>
      </c>
    </row>
    <row r="229" spans="1:8" x14ac:dyDescent="0.25">
      <c r="A229" t="s">
        <v>436</v>
      </c>
      <c r="B229" t="s">
        <v>404</v>
      </c>
      <c r="C229" t="s">
        <v>274</v>
      </c>
      <c r="D229" t="s">
        <v>409</v>
      </c>
      <c r="E229" t="str">
        <f t="shared" si="27"/>
        <v>3D</v>
      </c>
      <c r="F229" t="str">
        <f t="shared" si="28"/>
        <v>DE01</v>
      </c>
      <c r="G229" t="s">
        <v>443</v>
      </c>
      <c r="H229" t="s">
        <v>442</v>
      </c>
    </row>
    <row r="230" spans="1:8" x14ac:dyDescent="0.25">
      <c r="A230" t="s">
        <v>437</v>
      </c>
      <c r="B230" t="s">
        <v>404</v>
      </c>
      <c r="C230" t="s">
        <v>274</v>
      </c>
      <c r="D230" t="s">
        <v>423</v>
      </c>
      <c r="E230" t="str">
        <f t="shared" si="27"/>
        <v>3D</v>
      </c>
      <c r="F230" t="str">
        <f t="shared" si="28"/>
        <v>RW21</v>
      </c>
      <c r="G230" t="s">
        <v>443</v>
      </c>
      <c r="H230" t="s">
        <v>442</v>
      </c>
    </row>
    <row r="231" spans="1:8" x14ac:dyDescent="0.25">
      <c r="A231" t="s">
        <v>438</v>
      </c>
      <c r="B231" t="s">
        <v>404</v>
      </c>
      <c r="C231" t="s">
        <v>274</v>
      </c>
      <c r="D231" t="s">
        <v>424</v>
      </c>
      <c r="E231" t="str">
        <f t="shared" si="27"/>
        <v>3D</v>
      </c>
      <c r="F231" t="str">
        <f t="shared" si="28"/>
        <v>RW31</v>
      </c>
      <c r="G231" t="s">
        <v>443</v>
      </c>
      <c r="H231" t="s">
        <v>442</v>
      </c>
    </row>
    <row r="232" spans="1:8" x14ac:dyDescent="0.25">
      <c r="A232" t="s">
        <v>439</v>
      </c>
      <c r="B232" t="s">
        <v>404</v>
      </c>
      <c r="C232" t="s">
        <v>274</v>
      </c>
      <c r="D232" t="s">
        <v>425</v>
      </c>
      <c r="E232" t="str">
        <f t="shared" si="27"/>
        <v>3D</v>
      </c>
      <c r="F232" t="str">
        <f t="shared" si="28"/>
        <v>RW32</v>
      </c>
      <c r="G232" t="s">
        <v>443</v>
      </c>
      <c r="H232" t="s">
        <v>442</v>
      </c>
    </row>
    <row r="233" spans="1:8" x14ac:dyDescent="0.25">
      <c r="A233" t="s">
        <v>440</v>
      </c>
      <c r="B233" t="s">
        <v>404</v>
      </c>
      <c r="C233" t="s">
        <v>274</v>
      </c>
      <c r="D233" t="s">
        <v>415</v>
      </c>
      <c r="E233" t="str">
        <f t="shared" si="27"/>
        <v>3D</v>
      </c>
      <c r="F233" t="str">
        <f t="shared" si="28"/>
        <v>RW33</v>
      </c>
      <c r="G233" t="s">
        <v>443</v>
      </c>
      <c r="H233" t="s">
        <v>442</v>
      </c>
    </row>
    <row r="234" spans="1:8" x14ac:dyDescent="0.25">
      <c r="A234" t="s">
        <v>441</v>
      </c>
      <c r="B234" t="s">
        <v>404</v>
      </c>
      <c r="C234" t="s">
        <v>274</v>
      </c>
      <c r="D234" t="s">
        <v>426</v>
      </c>
      <c r="E234" t="str">
        <f t="shared" si="27"/>
        <v>3D</v>
      </c>
      <c r="F234" t="str">
        <f t="shared" si="28"/>
        <v>RW36</v>
      </c>
      <c r="G234" t="s">
        <v>443</v>
      </c>
      <c r="H234" t="s">
        <v>442</v>
      </c>
    </row>
    <row r="240" spans="1:8" x14ac:dyDescent="0.25">
      <c r="A240" t="s">
        <v>474</v>
      </c>
      <c r="B240" t="s">
        <v>485</v>
      </c>
      <c r="C240" t="s">
        <v>261</v>
      </c>
      <c r="D240" t="s">
        <v>496</v>
      </c>
      <c r="E240" t="str">
        <f t="shared" ref="E240:E247" si="29">IF(ISNUMBER(SEARCH("M2D",A240)),"2D","3D")</f>
        <v>3D</v>
      </c>
      <c r="F240" t="str">
        <f t="shared" ref="F240:F247" si="30">RIGHT(A240, 4)</f>
        <v>3D01</v>
      </c>
      <c r="G240" t="s">
        <v>508</v>
      </c>
      <c r="H240" t="s">
        <v>507</v>
      </c>
    </row>
    <row r="241" spans="1:8" x14ac:dyDescent="0.25">
      <c r="A241" t="s">
        <v>475</v>
      </c>
      <c r="B241" t="s">
        <v>486</v>
      </c>
      <c r="C241" t="s">
        <v>190</v>
      </c>
      <c r="D241" t="s">
        <v>501</v>
      </c>
      <c r="E241" t="str">
        <f t="shared" si="29"/>
        <v>3D</v>
      </c>
      <c r="F241" t="str">
        <f t="shared" si="30"/>
        <v>3D01</v>
      </c>
      <c r="G241" t="s">
        <v>508</v>
      </c>
      <c r="H241" t="s">
        <v>507</v>
      </c>
    </row>
    <row r="242" spans="1:8" x14ac:dyDescent="0.25">
      <c r="A242" t="s">
        <v>476</v>
      </c>
      <c r="B242" t="s">
        <v>487</v>
      </c>
      <c r="C242" t="s">
        <v>494</v>
      </c>
      <c r="D242" t="s">
        <v>506</v>
      </c>
      <c r="E242" t="str">
        <f t="shared" si="29"/>
        <v>3D</v>
      </c>
      <c r="F242" t="str">
        <f t="shared" si="30"/>
        <v>EW40</v>
      </c>
      <c r="G242" t="s">
        <v>508</v>
      </c>
      <c r="H242" t="s">
        <v>507</v>
      </c>
    </row>
    <row r="243" spans="1:8" x14ac:dyDescent="0.25">
      <c r="A243" t="s">
        <v>477</v>
      </c>
      <c r="B243" t="s">
        <v>488</v>
      </c>
      <c r="C243" t="s">
        <v>471</v>
      </c>
      <c r="D243" t="s">
        <v>497</v>
      </c>
      <c r="E243" t="str">
        <f t="shared" si="29"/>
        <v>3D</v>
      </c>
      <c r="F243" t="str">
        <f t="shared" si="30"/>
        <v>DE01</v>
      </c>
      <c r="G243" t="s">
        <v>508</v>
      </c>
      <c r="H243" t="s">
        <v>507</v>
      </c>
    </row>
    <row r="244" spans="1:8" x14ac:dyDescent="0.25">
      <c r="A244" t="s">
        <v>478</v>
      </c>
      <c r="B244" t="s">
        <v>489</v>
      </c>
      <c r="C244" t="s">
        <v>191</v>
      </c>
      <c r="D244" t="s">
        <v>498</v>
      </c>
      <c r="E244" t="str">
        <f t="shared" si="29"/>
        <v>2D</v>
      </c>
      <c r="F244" t="str">
        <f t="shared" si="30"/>
        <v>DE01</v>
      </c>
      <c r="G244" t="s">
        <v>508</v>
      </c>
      <c r="H244" t="s">
        <v>507</v>
      </c>
    </row>
    <row r="245" spans="1:8" x14ac:dyDescent="0.25">
      <c r="A245" t="s">
        <v>479</v>
      </c>
      <c r="B245" t="s">
        <v>490</v>
      </c>
      <c r="C245" t="s">
        <v>189</v>
      </c>
      <c r="D245" t="s">
        <v>499</v>
      </c>
      <c r="E245" t="str">
        <f t="shared" si="29"/>
        <v>2D</v>
      </c>
      <c r="F245" t="str">
        <f t="shared" si="30"/>
        <v>DE01</v>
      </c>
      <c r="G245" t="s">
        <v>508</v>
      </c>
      <c r="H245" t="s">
        <v>507</v>
      </c>
    </row>
    <row r="246" spans="1:8" x14ac:dyDescent="0.25">
      <c r="A246" t="s">
        <v>480</v>
      </c>
      <c r="B246" t="s">
        <v>486</v>
      </c>
      <c r="C246" t="s">
        <v>190</v>
      </c>
      <c r="D246" t="s">
        <v>500</v>
      </c>
      <c r="E246" t="str">
        <f t="shared" si="29"/>
        <v>2D</v>
      </c>
      <c r="F246" t="str">
        <f t="shared" si="30"/>
        <v>DE01</v>
      </c>
      <c r="G246" t="s">
        <v>508</v>
      </c>
      <c r="H246" t="s">
        <v>507</v>
      </c>
    </row>
    <row r="247" spans="1:8" x14ac:dyDescent="0.25">
      <c r="A247" t="s">
        <v>481</v>
      </c>
      <c r="B247" t="s">
        <v>493</v>
      </c>
      <c r="C247" t="s">
        <v>184</v>
      </c>
      <c r="D247" t="s">
        <v>233</v>
      </c>
      <c r="E247" t="str">
        <f t="shared" si="29"/>
        <v>2D</v>
      </c>
      <c r="F247" t="str">
        <f t="shared" si="30"/>
        <v>DE01</v>
      </c>
      <c r="G247" t="s">
        <v>508</v>
      </c>
      <c r="H247" t="s">
        <v>507</v>
      </c>
    </row>
    <row r="248" spans="1:8" x14ac:dyDescent="0.25">
      <c r="A248" t="s">
        <v>482</v>
      </c>
      <c r="B248" t="s">
        <v>491</v>
      </c>
      <c r="C248" t="s">
        <v>495</v>
      </c>
      <c r="D248" t="s">
        <v>505</v>
      </c>
      <c r="E248" t="str">
        <f t="shared" ref="E248:E251" si="31">IF(ISNUMBER(SEARCH("M2D",A248)),"2D","3D")</f>
        <v>2D</v>
      </c>
      <c r="F248" t="str">
        <f t="shared" ref="F248:F251" si="32">RIGHT(A248, 4)</f>
        <v>DE01</v>
      </c>
      <c r="G248" t="s">
        <v>508</v>
      </c>
      <c r="H248" t="s">
        <v>507</v>
      </c>
    </row>
    <row r="249" spans="1:8" x14ac:dyDescent="0.25">
      <c r="A249" t="s">
        <v>483</v>
      </c>
      <c r="B249" t="s">
        <v>487</v>
      </c>
      <c r="C249" t="s">
        <v>494</v>
      </c>
      <c r="D249" t="s">
        <v>502</v>
      </c>
      <c r="E249" t="str">
        <f t="shared" si="31"/>
        <v>3D</v>
      </c>
      <c r="F249" t="str">
        <f t="shared" si="32"/>
        <v>EW01</v>
      </c>
      <c r="G249" t="s">
        <v>508</v>
      </c>
      <c r="H249" t="s">
        <v>507</v>
      </c>
    </row>
    <row r="250" spans="1:8" x14ac:dyDescent="0.25">
      <c r="A250" t="s">
        <v>484</v>
      </c>
      <c r="B250" t="s">
        <v>487</v>
      </c>
      <c r="C250" t="s">
        <v>494</v>
      </c>
      <c r="D250" t="s">
        <v>503</v>
      </c>
      <c r="E250" t="str">
        <f t="shared" si="31"/>
        <v>3D</v>
      </c>
      <c r="F250" t="str">
        <f t="shared" si="32"/>
        <v>TR01</v>
      </c>
      <c r="G250" t="s">
        <v>508</v>
      </c>
      <c r="H250" t="s">
        <v>507</v>
      </c>
    </row>
    <row r="251" spans="1:8" x14ac:dyDescent="0.25">
      <c r="A251" t="s">
        <v>492</v>
      </c>
      <c r="B251" t="s">
        <v>487</v>
      </c>
      <c r="C251" t="s">
        <v>494</v>
      </c>
      <c r="D251" t="s">
        <v>504</v>
      </c>
      <c r="E251" t="str">
        <f t="shared" si="31"/>
        <v>3D</v>
      </c>
      <c r="F251" t="str">
        <f t="shared" si="32"/>
        <v>TR02</v>
      </c>
      <c r="G251" t="s">
        <v>508</v>
      </c>
      <c r="H251" t="s">
        <v>507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b17afdc-1639-4c16-803b-66671fba3b73}" enabled="1" method="Privileged" siteId="{9e52d672-a711-4a65-ad96-286a3703d9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Proulx</dc:creator>
  <cp:lastModifiedBy>Bradley Proulx</cp:lastModifiedBy>
  <dcterms:created xsi:type="dcterms:W3CDTF">2025-07-01T08:19:13Z</dcterms:created>
  <dcterms:modified xsi:type="dcterms:W3CDTF">2025-11-27T06:20:04Z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